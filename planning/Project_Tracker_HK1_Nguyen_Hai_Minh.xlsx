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8bc87c5de74957" /></Relationships>
</file>

<file path=xl/workbook.xml><?xml version="1.0" encoding="utf-8"?>
<x:workbook xmlns:x="http://schemas.openxmlformats.org/spreadsheetml/2006/main">
  <x:sheets>
    <x:sheet xmlns:r="http://schemas.openxmlformats.org/officeDocument/2006/relationships" name="Project Plan" sheetId="1" r:id="R1ea4113519654333"/>
    <x:sheet xmlns:r="http://schemas.openxmlformats.org/officeDocument/2006/relationships" name="Chi tiet HK1" sheetId="2" r:id="Rd86dced45b71464f"/>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164" formatCode="mmm\ d\,\ yyyy"/>
    <x:numFmt numFmtId="165" formatCode="#,##0;[Red]\(#,##0\);\-"/>
    <x:numFmt numFmtId="166" formatCode="mmm\ d"/>
    <x:numFmt numFmtId="167" formatCode=";;;"/>
    <x:numFmt numFmtId="200" formatCode="dd/mm/yyyy"/>
    <x:numFmt numFmtId="201" formatCode="dd/mm/yy"/>
    <x:numFmt numFmtId="202" formatCode="0"/>
    <x:numFmt numFmtId="203" formatCode="dd/mm"/>
    <x:numFmt numFmtId="204" formatCode="0.0"/>
    <x:numFmt numFmtId="205" formatCode="@"/>
  </x:numFmts>
  <x:fonts count="24">
    <x:font>
      <x:sz val="11"/>
      <x:name val="Arial"/>
    </x:font>
    <x:font>
      <x:b/>
      <x:sz val="14"/>
      <x:color rgb="FFFFFFFF"/>
      <x:name val="Arial"/>
      <x:family val="2"/>
    </x:font>
    <x:font>
      <x:b/>
      <x:sz val="10"/>
      <x:color rgb="FFD9E2EA"/>
      <x:name val="Arial"/>
      <x:family val="2"/>
    </x:font>
    <x:font>
      <x:b/>
      <x:sz val="10"/>
      <x:color rgb="FF3F3296"/>
      <x:name val="Arial"/>
      <x:family val="2"/>
    </x:font>
    <x:font>
      <x:b/>
      <x:sz val="9"/>
      <x:color rgb="FF3F3296"/>
      <x:name val="Arial"/>
      <x:family val="2"/>
    </x:font>
    <x:font>
      <x:b/>
      <x:sz val="8"/>
      <x:color rgb="FFFFFFFF"/>
      <x:name val="Arial"/>
      <x:family val="2"/>
    </x:font>
    <x:font>
      <x:b/>
      <x:sz val="18"/>
      <x:color rgb="FF3F3296"/>
      <x:name val="Arial"/>
      <x:family val="2"/>
    </x:font>
    <x:font>
      <x:b/>
      <x:sz val="18"/>
      <x:color rgb="FF087E5D"/>
      <x:name val="Arial"/>
      <x:family val="2"/>
    </x:font>
    <x:font>
      <x:b/>
      <x:sz val="18"/>
      <x:color rgb="FF3258CD"/>
      <x:name val="Arial"/>
      <x:family val="2"/>
    </x:font>
    <x:font>
      <x:b/>
      <x:sz val="18"/>
      <x:color rgb="FFC23647"/>
      <x:name val="Arial"/>
      <x:family val="2"/>
    </x:font>
    <x:font>
      <x:b/>
      <x:sz val="9"/>
      <x:color rgb="FFFFFFFF"/>
      <x:name val="Arial"/>
      <x:family val="2"/>
    </x:font>
    <x:font>
      <x:sz val="9"/>
      <x:color rgb="FF17212B"/>
      <x:name val="Arial"/>
      <x:family val="2"/>
    </x:font>
    <x:font>
      <x:i/>
      <x:sz val="9"/>
      <x:color rgb="FF3F3296"/>
      <x:name val="Arial"/>
      <x:family val="2"/>
    </x:font>
    <x:font>
      <x:sz val="11"/>
      <x:name val="Arial"/>
      <x:family val="2"/>
    </x:font>
    <x:font>
      <x:sz val="9"/>
      <x:color rgb="FF0432FF"/>
      <x:name val="Arial"/>
      <x:family val="2"/>
    </x:font>
    <x:font>
      <x:sz val="9"/>
      <x:color rgb="FF253044"/>
      <x:name val="Arial"/>
      <x:family val="2"/>
    </x:font>
    <x:font>
      <x:sz val="10"/>
      <x:color rgb="FF253044"/>
      <x:name val="Arial"/>
    </x:font>
    <x:font>
      <x:b/>
      <x:sz val="14"/>
      <x:color rgb="FFFFFFFF"/>
      <x:name val="Arial"/>
    </x:font>
    <x:font>
      <x:b/>
      <x:sz val="10"/>
      <x:color rgb="FFFFFFFF"/>
      <x:name val="Arial"/>
    </x:font>
    <x:font>
      <x:b/>
      <x:sz val="10"/>
      <x:color rgb="FF43338F"/>
      <x:name val="Arial"/>
    </x:font>
    <x:font>
      <x:sz val="9"/>
      <x:color rgb="FF253044"/>
      <x:name val="Arial"/>
    </x:font>
    <x:font>
      <x:b/>
      <x:sz val="9"/>
      <x:color rgb="FF43338F"/>
      <x:name val="Arial"/>
    </x:font>
    <x:font>
      <x:b/>
      <x:sz val="9"/>
      <x:color rgb="FFFFFFFF"/>
      <x:name val="Arial"/>
    </x:font>
    <x:font>
      <x:sz val="9"/>
      <x:color rgb="FF2359BB"/>
      <x:name val="Arial"/>
    </x:font>
  </x:fonts>
  <x:fills count="15">
    <x:fill>
      <x:patternFill patternType="none"/>
    </x:fill>
    <x:fill>
      <x:patternFill patternType="gray125"/>
    </x:fill>
    <x:fill>
      <x:patternFill patternType="solid">
        <x:fgColor rgb="FF3F3296"/>
      </x:patternFill>
    </x:fill>
    <x:fill>
      <x:patternFill patternType="solid">
        <x:fgColor rgb="FFF2EDFF"/>
      </x:patternFill>
    </x:fill>
    <x:fill>
      <x:patternFill patternType="solid">
        <x:fgColor rgb="FFFFFFFF"/>
      </x:patternFill>
    </x:fill>
    <x:fill>
      <x:patternFill patternType="solid">
        <x:fgColor rgb="FFFFF2CC"/>
      </x:patternFill>
    </x:fill>
    <x:fill>
      <x:patternFill patternType="solid">
        <x:fgColor rgb="FF5E4CC7"/>
      </x:patternFill>
    </x:fill>
    <x:fill>
      <x:patternFill patternType="solid">
        <x:fgColor rgb="FFFAF8FF"/>
      </x:patternFill>
    </x:fill>
    <x:fill>
      <x:patternFill patternType="solid">
        <x:fgColor rgb="FFFFF2CC"/>
      </x:patternFill>
    </x:fill>
    <x:fill>
      <x:patternFill patternType="solid">
        <x:fgColor rgb="FF43338F"/>
      </x:patternFill>
    </x:fill>
    <x:fill>
      <x:patternFill patternType="solid">
        <x:fgColor rgb="FFF1ECFE"/>
      </x:patternFill>
    </x:fill>
    <x:fill>
      <x:patternFill patternType="solid">
        <x:fgColor rgb="FF5E4CC7"/>
      </x:patternFill>
    </x:fill>
    <x:fill>
      <x:patternFill patternType="solid">
        <x:fgColor rgb="FFFFFFFF"/>
      </x:patternFill>
    </x:fill>
    <x:fill>
      <x:patternFill patternType="solid">
        <x:fgColor rgb="FFF8F6FF"/>
      </x:patternFill>
    </x:fill>
    <x:fill>
      <x:patternFill patternType="solid">
        <x:fgColor rgb="FFFFF4CC"/>
      </x:patternFill>
    </x:fill>
  </x:fills>
  <x:borders count="16">
    <x:border>
      <x:left/>
      <x:right/>
      <x:top/>
      <x:bottom/>
      <x:diagonal/>
    </x:border>
    <x:border>
      <x:left style="thin">
        <x:color rgb="FFD9E0E6"/>
      </x:left>
      <x:right style="thin">
        <x:color rgb="FFD9E0E6"/>
      </x:right>
      <x:top style="thin">
        <x:color rgb="FFD9E0E6"/>
      </x:top>
      <x:bottom style="thin">
        <x:color rgb="FFD9E0E6"/>
      </x:bottom>
      <x:diagonal/>
    </x:border>
    <x:border>
      <x:left style="thin">
        <x:color rgb="FFD6C26E"/>
      </x:left>
      <x:right style="thin">
        <x:color rgb="FFD6C26E"/>
      </x:right>
      <x:top style="thin">
        <x:color rgb="FFD6C26E"/>
      </x:top>
      <x:bottom style="thin">
        <x:color rgb="FFD6C26E"/>
      </x:bottom>
      <x:diagonal/>
    </x:border>
    <x:border>
      <x:left style="thin">
        <x:color rgb="FFECE8FA"/>
      </x:left>
      <x:right/>
      <x:top style="thin">
        <x:color rgb="FFECE8FA"/>
      </x:top>
      <x:bottom style="thin">
        <x:color rgb="FFECE8FA"/>
      </x:bottom>
      <x:diagonal/>
    </x:border>
    <x:border>
      <x:left/>
      <x:right/>
      <x:top style="thin">
        <x:color rgb="FFECE8FA"/>
      </x:top>
      <x:bottom style="thin">
        <x:color rgb="FFECE8FA"/>
      </x:bottom>
      <x:diagonal/>
    </x:border>
    <x:border>
      <x:left/>
      <x:right style="thin">
        <x:color rgb="FFECE8FA"/>
      </x:right>
      <x:top style="thin">
        <x:color rgb="FFECE8FA"/>
      </x:top>
      <x:bottom style="thin">
        <x:color rgb="FFECE8FA"/>
      </x:bottom>
      <x:diagonal/>
    </x:border>
    <x:border>
      <x:left style="thin">
        <x:color rgb="FFECE8FA"/>
      </x:left>
      <x:right/>
      <x:top style="thin">
        <x:color rgb="FFECE8FA"/>
      </x:top>
      <x:bottom/>
      <x:diagonal/>
    </x:border>
    <x:border>
      <x:left/>
      <x:right/>
      <x:top style="thin">
        <x:color rgb="FFECE8FA"/>
      </x:top>
      <x:bottom/>
      <x:diagonal/>
    </x:border>
    <x:border>
      <x:left/>
      <x:right style="thin">
        <x:color rgb="FFECE8FA"/>
      </x:right>
      <x:top style="thin">
        <x:color rgb="FFECE8FA"/>
      </x:top>
      <x:bottom/>
      <x:diagonal/>
    </x:border>
    <x:border>
      <x:left style="thin">
        <x:color rgb="FFECE8FA"/>
      </x:left>
      <x:right/>
      <x:top/>
      <x:bottom style="thin">
        <x:color rgb="FFECE8FA"/>
      </x:bottom>
      <x:diagonal/>
    </x:border>
    <x:border>
      <x:left/>
      <x:right/>
      <x:top/>
      <x:bottom style="thin">
        <x:color rgb="FFECE8FA"/>
      </x:bottom>
      <x:diagonal/>
    </x:border>
    <x:border>
      <x:left/>
      <x:right style="thin">
        <x:color rgb="FFECE8FA"/>
      </x:right>
      <x:top/>
      <x:bottom style="thin">
        <x:color rgb="FFECE8FA"/>
      </x:bottom>
      <x:diagonal/>
    </x:border>
    <x:border>
      <x:left style="thin">
        <x:color rgb="FFD6C26E"/>
      </x:left>
      <x:right/>
      <x:top style="thin">
        <x:color rgb="FFD9E0E6"/>
      </x:top>
      <x:bottom style="thin">
        <x:color rgb="FFD9E0E6"/>
      </x:bottom>
      <x:diagonal/>
    </x:border>
    <x:border>
      <x:left/>
      <x:right style="thin">
        <x:color rgb="FFD6C26E"/>
      </x:right>
      <x:top style="thin">
        <x:color rgb="FFD9E0E6"/>
      </x:top>
      <x:bottom style="thin">
        <x:color rgb="FFD9E0E6"/>
      </x:bottom>
      <x:diagonal/>
    </x:border>
    <x:border>
      <x:left/>
      <x:right style="thin">
        <x:color rgb="FFD9E0E6"/>
      </x:right>
      <x:top/>
      <x:bottom/>
      <x:diagonal/>
    </x:border>
    <x:border>
      <x:left style="thin">
        <x:color rgb="FFD9E0E6"/>
      </x:left>
      <x:right/>
      <x:top/>
      <x:bottom/>
      <x:diagonal/>
    </x:border>
  </x:borders>
  <x:cellStyleXfs count="1">
    <x:xf numFmtId="0" fontId="0" fillId="0" borderId="0"/>
  </x:cellStyleXfs>
  <x:cellXfs count="114">
    <x:xf numFmtId="0" fontId="0" fillId="0" borderId="0" xfId="0"/>
    <x:xf numFmtId="0" fontId="10" fillId="6" borderId="1" xfId="0" applyFont="1" applyFill="1" applyBorder="1" applyAlignment="1">
      <x:alignment horizontal="center" vertical="center" wrapText="1"/>
    </x:xf>
    <x:xf numFmtId="166" fontId="10" fillId="6" borderId="1" xfId="0" applyNumberFormat="1" applyFont="1" applyFill="1" applyBorder="1" applyAlignment="1">
      <x:alignment horizontal="center" vertical="center" wrapText="1"/>
    </x:xf>
    <x:xf numFmtId="0" fontId="11" fillId="4" borderId="1" xfId="0" applyFont="1" applyFill="1" applyBorder="1" applyAlignment="1">
      <x:alignment horizontal="left" vertical="center"/>
    </x:xf>
    <x:xf numFmtId="0" fontId="11" fillId="7" borderId="1" xfId="0" applyFont="1" applyFill="1" applyBorder="1" applyAlignment="1">
      <x:alignment horizontal="left" vertical="center"/>
    </x:xf>
    <x:xf numFmtId="0" fontId="4" fillId="7" borderId="1" xfId="0" applyFont="1" applyFill="1" applyBorder="1" applyAlignment="1">
      <x:alignment horizontal="left" vertical="center"/>
    </x:xf>
    <x:xf numFmtId="0" fontId="4" fillId="4" borderId="1" xfId="0" applyFont="1" applyFill="1" applyBorder="1" applyAlignment="1">
      <x:alignment horizontal="left" vertical="center"/>
    </x:xf>
    <x:xf numFmtId="0" fontId="11" fillId="7" borderId="1" xfId="0" applyFont="1" applyFill="1" applyBorder="1" applyAlignment="1">
      <x:alignment horizontal="center" vertical="center"/>
    </x:xf>
    <x:xf numFmtId="0" fontId="11" fillId="4" borderId="1" xfId="0" applyFont="1" applyFill="1" applyBorder="1" applyAlignment="1">
      <x:alignment horizontal="center" vertical="center"/>
    </x:xf>
    <x:xf numFmtId="166" fontId="11" fillId="7" borderId="1" xfId="0" applyNumberFormat="1" applyFont="1" applyFill="1" applyBorder="1" applyAlignment="1">
      <x:alignment horizontal="center" vertical="center"/>
    </x:xf>
    <x:xf numFmtId="166" fontId="11" fillId="4" borderId="1" xfId="0" applyNumberFormat="1" applyFont="1" applyFill="1" applyBorder="1" applyAlignment="1">
      <x:alignment horizontal="center" vertical="center"/>
    </x:xf>
    <x:xf numFmtId="165" fontId="11" fillId="3" borderId="1" xfId="0" applyNumberFormat="1" applyFont="1" applyFill="1" applyBorder="1" applyAlignment="1">
      <x:alignment horizontal="center" vertical="center"/>
    </x:xf>
    <x:xf numFmtId="167" fontId="11" fillId="4" borderId="1" xfId="0" applyNumberFormat="1" applyFont="1" applyFill="1" applyBorder="1" applyAlignment="1">
      <x:alignment horizontal="left" vertical="center"/>
    </x:xf>
    <x:xf numFmtId="167" fontId="11" fillId="7" borderId="1" xfId="0" applyNumberFormat="1" applyFont="1" applyFill="1" applyBorder="1" applyAlignment="1">
      <x:alignment horizontal="left" vertical="center"/>
    </x:xf>
    <x:xf numFmtId="0" fontId="0" fillId="0" borderId="0" xfId="0" applyAlignment="1">
      <x:alignment vertical="center"/>
    </x:xf>
    <x:xf numFmtId="0" fontId="13" fillId="0" borderId="0" xfId="0" applyFont="1" applyAlignment="1">
      <x:alignment vertical="center"/>
    </x:xf>
    <x:xf numFmtId="166" fontId="14" fillId="7" borderId="1" xfId="0" applyNumberFormat="1" applyFont="1" applyFill="1" applyBorder="1" applyAlignment="1">
      <x:alignment horizontal="center" vertical="center"/>
    </x:xf>
    <x:xf numFmtId="166" fontId="14" fillId="4" borderId="1" xfId="0" applyNumberFormat="1" applyFont="1" applyFill="1" applyBorder="1" applyAlignment="1">
      <x:alignment horizontal="center" vertical="center"/>
    </x:xf>
    <x:xf numFmtId="0" fontId="4" fillId="4" borderId="1" xfId="0" applyFont="1" applyFill="1" applyBorder="1" applyAlignment="1">
      <x:alignment horizontal="center" vertical="center" wrapText="1"/>
    </x:xf>
    <x:xf numFmtId="0" fontId="1" fillId="2" borderId="0" xfId="0" applyFont="1" applyFill="1" applyAlignment="1">
      <x:alignment horizontal="left" vertical="center"/>
    </x:xf>
    <x:xf numFmtId="0" fontId="2" fillId="2" borderId="0" xfId="0" applyFont="1" applyFill="1" applyAlignment="1">
      <x:alignment horizontal="left" vertical="center"/>
    </x:xf>
    <x:xf numFmtId="0" fontId="3" fillId="3" borderId="0" xfId="0" applyFont="1" applyFill="1" applyAlignment="1">
      <x:alignment horizontal="left" vertical="center"/>
    </x:xf>
    <x:xf numFmtId="0" fontId="14" fillId="8" borderId="2" xfId="0" applyFont="1" applyFill="1" applyBorder="1" applyAlignment="1">
      <x:alignment horizontal="left" vertical="center"/>
    </x:xf>
    <x:xf numFmtId="0" fontId="14" fillId="5" borderId="2" xfId="0" applyFont="1" applyFill="1" applyBorder="1" applyAlignment="1">
      <x:alignment horizontal="left" vertical="center"/>
    </x:xf>
    <x:xf numFmtId="0" fontId="5" fillId="2" borderId="3" xfId="0" applyFont="1" applyFill="1" applyBorder="1" applyAlignment="1">
      <x:alignment horizontal="center" vertical="center"/>
    </x:xf>
    <x:xf numFmtId="0" fontId="5" fillId="2" borderId="4" xfId="0" applyFont="1" applyFill="1" applyBorder="1" applyAlignment="1">
      <x:alignment horizontal="center" vertical="center"/>
    </x:xf>
    <x:xf numFmtId="0" fontId="5" fillId="2" borderId="5" xfId="0" applyFont="1" applyFill="1" applyBorder="1" applyAlignment="1">
      <x:alignment horizontal="center" vertical="center"/>
    </x:xf>
    <x:xf numFmtId="0" fontId="4" fillId="4" borderId="12" xfId="0" applyFont="1" applyFill="1" applyBorder="1" applyAlignment="1">
      <x:alignment horizontal="center" vertical="center" wrapText="1"/>
    </x:xf>
    <x:xf numFmtId="0" fontId="4" fillId="4" borderId="13" xfId="0" applyFont="1" applyFill="1" applyBorder="1" applyAlignment="1">
      <x:alignment horizontal="center" vertical="center" wrapText="1"/>
    </x:xf>
    <x:xf numFmtId="0" fontId="12" fillId="3" borderId="6" xfId="0" applyFont="1" applyFill="1" applyBorder="1" applyAlignment="1">
      <x:alignment horizontal="left" vertical="center" wrapText="1"/>
    </x:xf>
    <x:xf numFmtId="0" fontId="12" fillId="3" borderId="7" xfId="0" applyFont="1" applyFill="1" applyBorder="1" applyAlignment="1">
      <x:alignment horizontal="left" vertical="center" wrapText="1"/>
    </x:xf>
    <x:xf numFmtId="0" fontId="12" fillId="3" borderId="8" xfId="0" applyFont="1" applyFill="1" applyBorder="1" applyAlignment="1">
      <x:alignment horizontal="left" vertical="center" wrapText="1"/>
    </x:xf>
    <x:xf numFmtId="0" fontId="12" fillId="3" borderId="9" xfId="0" applyFont="1" applyFill="1" applyBorder="1" applyAlignment="1">
      <x:alignment horizontal="left" vertical="center" wrapText="1"/>
    </x:xf>
    <x:xf numFmtId="0" fontId="12" fillId="3" borderId="10" xfId="0" applyFont="1" applyFill="1" applyBorder="1" applyAlignment="1">
      <x:alignment horizontal="left" vertical="center" wrapText="1"/>
    </x:xf>
    <x:xf numFmtId="0" fontId="12" fillId="3" borderId="11" xfId="0" applyFont="1" applyFill="1" applyBorder="1" applyAlignment="1">
      <x:alignment horizontal="left" vertical="center" wrapText="1"/>
    </x:xf>
    <x:xf numFmtId="165" fontId="8" fillId="3" borderId="3" xfId="0" applyNumberFormat="1" applyFont="1" applyFill="1" applyBorder="1" applyAlignment="1">
      <x:alignment horizontal="center" vertical="center"/>
    </x:xf>
    <x:xf numFmtId="165" fontId="8" fillId="3" borderId="4" xfId="0" applyNumberFormat="1" applyFont="1" applyFill="1" applyBorder="1" applyAlignment="1">
      <x:alignment horizontal="center" vertical="center"/>
    </x:xf>
    <x:xf numFmtId="165" fontId="8" fillId="3" borderId="5" xfId="0" applyNumberFormat="1" applyFont="1" applyFill="1" applyBorder="1" applyAlignment="1">
      <x:alignment horizontal="center" vertical="center"/>
    </x:xf>
    <x:xf numFmtId="165" fontId="9" fillId="3" borderId="3" xfId="0" applyNumberFormat="1" applyFont="1" applyFill="1" applyBorder="1" applyAlignment="1">
      <x:alignment horizontal="center" vertical="center"/>
    </x:xf>
    <x:xf numFmtId="165" fontId="9" fillId="3" borderId="4" xfId="0" applyNumberFormat="1" applyFont="1" applyFill="1" applyBorder="1" applyAlignment="1">
      <x:alignment horizontal="center" vertical="center"/>
    </x:xf>
    <x:xf numFmtId="165" fontId="9" fillId="3" borderId="5" xfId="0" applyNumberFormat="1" applyFont="1" applyFill="1" applyBorder="1" applyAlignment="1">
      <x:alignment horizontal="center" vertical="center"/>
    </x:xf>
    <x:xf numFmtId="164" fontId="14" fillId="5" borderId="2" xfId="0" applyNumberFormat="1" applyFont="1" applyFill="1" applyBorder="1" applyAlignment="1">
      <x:alignment horizontal="left" vertical="center"/>
    </x:xf>
    <x:xf numFmtId="165" fontId="6" fillId="3" borderId="3" xfId="0" applyNumberFormat="1" applyFont="1" applyFill="1" applyBorder="1" applyAlignment="1">
      <x:alignment horizontal="center" vertical="center"/>
    </x:xf>
    <x:xf numFmtId="165" fontId="6" fillId="3" borderId="4" xfId="0" applyNumberFormat="1" applyFont="1" applyFill="1" applyBorder="1" applyAlignment="1">
      <x:alignment horizontal="center" vertical="center"/>
    </x:xf>
    <x:xf numFmtId="165" fontId="6" fillId="3" borderId="5" xfId="0" applyNumberFormat="1" applyFont="1" applyFill="1" applyBorder="1" applyAlignment="1">
      <x:alignment horizontal="center" vertical="center"/>
    </x:xf>
    <x:xf numFmtId="165" fontId="7" fillId="3" borderId="3" xfId="0" applyNumberFormat="1" applyFont="1" applyFill="1" applyBorder="1" applyAlignment="1">
      <x:alignment horizontal="center" vertical="center"/>
    </x:xf>
    <x:xf numFmtId="165" fontId="7" fillId="3" borderId="4" xfId="0" applyNumberFormat="1" applyFont="1" applyFill="1" applyBorder="1" applyAlignment="1">
      <x:alignment horizontal="center" vertical="center"/>
    </x:xf>
    <x:xf numFmtId="165" fontId="7" fillId="3" borderId="5" xfId="0" applyNumberFormat="1" applyFont="1" applyFill="1" applyBorder="1" applyAlignment="1">
      <x:alignment horizontal="center" vertical="center"/>
    </x:xf>
    <x:xf numFmtId="200" fontId="14" fillId="5" borderId="2" xfId="0" applyNumberFormat="1" applyFont="1" applyFill="1" applyBorder="1" applyAlignment="1">
      <x:alignment horizontal="left" vertical="center"/>
    </x:xf>
    <x:xf numFmtId="0" fontId="11" fillId="7" borderId="1" xfId="0" applyNumberFormat="1" applyFont="1" applyFill="1" applyBorder="1" applyAlignment="1">
      <x:alignment horizontal="left" vertical="center" wrapText="1"/>
    </x:xf>
    <x:xf numFmtId="0" fontId="11" fillId="4" borderId="1" xfId="0" applyNumberFormat="1" applyFont="1" applyFill="1" applyBorder="1" applyAlignment="1">
      <x:alignment horizontal="left" vertical="center" wrapText="1"/>
    </x:xf>
    <x:xf numFmtId="166" fontId="15" fillId="7" borderId="1" xfId="0" applyNumberFormat="1" applyFont="1" applyFill="1" applyBorder="1" applyAlignment="1">
      <x:alignment horizontal="center" vertical="center"/>
    </x:xf>
    <x:xf numFmtId="166" fontId="15" fillId="4" borderId="1" xfId="0" applyNumberFormat="1" applyFont="1" applyFill="1" applyBorder="1" applyAlignment="1">
      <x:alignment horizontal="center" vertical="center"/>
    </x:xf>
    <x:xf numFmtId="201" fontId="15" fillId="7" borderId="1" xfId="0" applyNumberFormat="1" applyFont="1" applyFill="1" applyBorder="1" applyAlignment="1">
      <x:alignment horizontal="center" vertical="center"/>
    </x:xf>
    <x:xf numFmtId="201" fontId="15" fillId="4" borderId="1" xfId="0" applyNumberFormat="1" applyFont="1" applyFill="1" applyBorder="1" applyAlignment="1">
      <x:alignment horizontal="center" vertical="center"/>
    </x:xf>
    <x:xf numFmtId="202" fontId="11" fillId="3" borderId="1" xfId="0" applyNumberFormat="1" applyFont="1" applyFill="1" applyBorder="1" applyAlignment="1">
      <x:alignment horizontal="center" vertical="center"/>
    </x:xf>
    <x:xf numFmtId="203" fontId="10" fillId="6" borderId="1"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vertical="center"/>
    </x:xf>
    <x:xf numFmtId="0" fontId="16" fillId="9" borderId="0" xfId="0" applyNumberFormat="1" applyFont="1" applyFill="1" applyBorder="1" applyAlignment="1">
      <x:alignment vertical="center"/>
    </x:xf>
    <x:xf numFmtId="0" fontId="17" fillId="9" borderId="0" xfId="0" applyNumberFormat="1" applyFont="1" applyFill="1" applyBorder="1" applyAlignment="1">
      <x:alignment vertical="center"/>
    </x:xf>
    <x:xf numFmtId="0" fontId="16" fillId="10" borderId="0" xfId="0" applyNumberFormat="1" applyFont="1" applyFill="1" applyBorder="1" applyAlignment="1">
      <x:alignment vertical="center"/>
    </x:xf>
    <x:xf numFmtId="0" fontId="16" fillId="10" borderId="0" xfId="0" applyNumberFormat="1" applyFont="1" applyFill="1" applyBorder="1" applyAlignment="1">
      <x:alignment vertical="center" wrapText="1"/>
    </x:xf>
    <x:xf numFmtId="0" fontId="16" fillId="11" borderId="0" xfId="0" applyNumberFormat="1" applyFont="1" applyFill="1" applyBorder="1" applyAlignment="1">
      <x:alignment vertical="center"/>
    </x:xf>
    <x:xf numFmtId="0" fontId="18" fillId="11" borderId="0" xfId="0" applyNumberFormat="1" applyFont="1" applyFill="1" applyBorder="1" applyAlignment="1">
      <x:alignment vertical="center"/>
    </x:xf>
    <x:xf numFmtId="0" fontId="18" fillId="11" borderId="0" xfId="0" applyNumberFormat="1" applyFont="1" applyFill="1" applyBorder="1" applyAlignment="1">
      <x:alignment vertical="center" wrapText="1"/>
    </x:xf>
    <x:xf numFmtId="0" fontId="18" fillId="11"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center" wrapText="1"/>
    </x:xf>
    <x:xf numFmtId="0" fontId="16" fillId="0" borderId="14" xfId="0" applyNumberFormat="1" applyFont="1" applyFill="1" applyBorder="1" applyAlignment="1">
      <x:alignment vertical="center" wrapText="1"/>
    </x:xf>
    <x:xf numFmtId="0" fontId="16" fillId="0" borderId="15" xfId="0" applyNumberFormat="1" applyFont="1" applyFill="1" applyBorder="1" applyAlignment="1">
      <x:alignment vertical="center" wrapText="1"/>
    </x:xf>
    <x:xf numFmtId="0" fontId="16" fillId="12" borderId="0" xfId="0" applyNumberFormat="1" applyFont="1" applyFill="1" applyBorder="1" applyAlignment="1">
      <x:alignment vertical="center" wrapText="1"/>
    </x:xf>
    <x:xf numFmtId="0" fontId="16" fillId="12" borderId="14" xfId="0" applyNumberFormat="1" applyFont="1" applyFill="1" applyBorder="1" applyAlignment="1">
      <x:alignment vertical="center" wrapText="1"/>
    </x:xf>
    <x:xf numFmtId="0" fontId="16" fillId="12" borderId="15" xfId="0" applyNumberFormat="1" applyFont="1" applyFill="1" applyBorder="1" applyAlignment="1">
      <x:alignment vertical="center" wrapText="1"/>
    </x:xf>
    <x:xf numFmtId="0" fontId="16" fillId="13" borderId="0" xfId="0" applyNumberFormat="1" applyFont="1" applyFill="1" applyBorder="1" applyAlignment="1">
      <x:alignment vertical="center" wrapText="1"/>
    </x:xf>
    <x:xf numFmtId="0" fontId="16" fillId="13" borderId="14" xfId="0" applyNumberFormat="1" applyFont="1" applyFill="1" applyBorder="1" applyAlignment="1">
      <x:alignment vertical="center" wrapText="1"/>
    </x:xf>
    <x:xf numFmtId="0" fontId="16" fillId="13" borderId="15" xfId="0" applyNumberFormat="1" applyFont="1" applyFill="1" applyBorder="1" applyAlignment="1">
      <x:alignment vertical="center" wrapText="1"/>
    </x:xf>
    <x:xf numFmtId="0" fontId="16" fillId="14" borderId="0" xfId="0" applyNumberFormat="1" applyFont="1" applyFill="1" applyBorder="1" applyAlignment="1">
      <x:alignment vertical="center" wrapText="1"/>
    </x:xf>
    <x:xf numFmtId="0" fontId="16" fillId="12"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6" fillId="13" borderId="0" xfId="0" applyNumberFormat="1" applyFont="1" applyFill="1" applyBorder="1" applyAlignment="1">
      <x:alignment horizontal="center" vertical="center" wrapText="1"/>
    </x:xf>
    <x:xf numFmtId="0" fontId="16" fillId="12" borderId="0" xfId="0" applyNumberFormat="1" applyFont="1" applyFill="1" applyBorder="1" applyAlignment="1">
      <x:alignment horizontal="right" vertical="center" wrapText="1"/>
    </x:xf>
    <x:xf numFmtId="0" fontId="16" fillId="13" borderId="0" xfId="0" applyNumberFormat="1" applyFont="1" applyFill="1" applyBorder="1" applyAlignment="1">
      <x:alignment horizontal="right" vertical="center" wrapText="1"/>
    </x:xf>
    <x:xf numFmtId="0" fontId="16" fillId="14" borderId="0" xfId="0" applyNumberFormat="1" applyFont="1" applyFill="1" applyBorder="1" applyAlignment="1">
      <x:alignment horizontal="right" vertical="center" wrapText="1"/>
    </x:xf>
    <x:xf numFmtId="202" fontId="16" fillId="14" borderId="0" xfId="0" applyNumberFormat="1" applyFont="1" applyFill="1" applyBorder="1" applyAlignment="1">
      <x:alignment horizontal="center" vertical="center" wrapText="1"/>
    </x:xf>
    <x:xf numFmtId="204" fontId="16" fillId="12" borderId="0" xfId="0" applyNumberFormat="1" applyFont="1" applyFill="1" applyBorder="1" applyAlignment="1">
      <x:alignment horizontal="right" vertical="center" wrapText="1"/>
    </x:xf>
    <x:xf numFmtId="204" fontId="16" fillId="14" borderId="0" xfId="0" applyNumberFormat="1" applyFont="1" applyFill="1" applyBorder="1" applyAlignment="1">
      <x:alignment vertical="center" wrapText="1"/>
    </x:xf>
    <x:xf numFmtId="204" fontId="16" fillId="14" borderId="0" xfId="0" applyNumberFormat="1" applyFont="1" applyFill="1" applyBorder="1" applyAlignment="1">
      <x:alignment horizontal="right" vertical="center" wrapText="1"/>
    </x:xf>
    <x:xf numFmtId="204" fontId="16" fillId="13" borderId="0" xfId="0" applyNumberFormat="1" applyFont="1" applyFill="1" applyBorder="1" applyAlignment="1">
      <x:alignment horizontal="right" vertical="center" wrapText="1"/>
    </x:xf>
    <x:xf numFmtId="205" fontId="16" fillId="14" borderId="0" xfId="0" applyNumberFormat="1" applyFont="1" applyFill="1" applyBorder="1" applyAlignment="1">
      <x:alignment vertical="center" wrapText="1"/>
    </x:xf>
    <x:xf numFmtId="0" fontId="19" fillId="10" borderId="0" xfId="0" applyNumberFormat="1" applyFont="1" applyFill="1" applyBorder="1" applyAlignment="1">
      <x:alignment vertical="center"/>
    </x:xf>
    <x:xf numFmtId="0" fontId="16" fillId="12" borderId="0" xfId="0" applyNumberFormat="1" applyFont="1" applyFill="1" applyBorder="1" applyAlignment="1">
      <x:alignment vertical="center"/>
    </x:xf>
    <x:xf numFmtId="0" fontId="16" fillId="13" borderId="0" xfId="0" applyNumberFormat="1" applyFont="1" applyFill="1" applyBorder="1" applyAlignment="1">
      <x:alignment vertical="center"/>
    </x:xf>
    <x:xf numFmtId="0" fontId="20" fillId="0" borderId="0" xfId="0" applyNumberFormat="1" applyFont="1" applyFill="1" applyBorder="1" applyAlignment="1">
      <x:alignment vertical="center"/>
    </x:xf>
    <x:xf numFmtId="0" fontId="20" fillId="10" borderId="0" xfId="0" applyNumberFormat="1" applyFont="1" applyFill="1" applyBorder="1" applyAlignment="1">
      <x:alignment vertical="center"/>
    </x:xf>
    <x:xf numFmtId="0" fontId="21" fillId="10" borderId="0" xfId="0" applyNumberFormat="1" applyFont="1" applyFill="1" applyBorder="1" applyAlignment="1">
      <x:alignment vertical="center"/>
    </x:xf>
    <x:xf numFmtId="0" fontId="20" fillId="11" borderId="0" xfId="0" applyNumberFormat="1" applyFont="1" applyFill="1" applyBorder="1" applyAlignment="1">
      <x:alignment vertical="center"/>
    </x:xf>
    <x:xf numFmtId="0" fontId="22" fillId="11" borderId="0" xfId="0" applyNumberFormat="1" applyFont="1" applyFill="1" applyBorder="1" applyAlignment="1">
      <x:alignment vertical="center"/>
    </x:xf>
    <x:xf numFmtId="0" fontId="22" fillId="11" borderId="0" xfId="0" applyNumberFormat="1" applyFont="1" applyFill="1" applyBorder="1" applyAlignment="1">
      <x:alignment vertical="center" wrapText="1"/>
    </x:xf>
    <x:xf numFmtId="0" fontId="22" fillId="11" borderId="0" xfId="0" applyNumberFormat="1" applyFont="1" applyFill="1" applyBorder="1" applyAlignment="1">
      <x:alignment horizontal="center" vertical="center" wrapText="1"/>
    </x:xf>
    <x:xf numFmtId="0" fontId="20" fillId="14" borderId="0" xfId="0" applyNumberFormat="1" applyFont="1" applyFill="1" applyBorder="1" applyAlignment="1">
      <x:alignment vertical="center"/>
    </x:xf>
    <x:xf numFmtId="0" fontId="23" fillId="14" borderId="0" xfId="0" applyNumberFormat="1" applyFont="1" applyFill="1" applyBorder="1" applyAlignment="1">
      <x:alignment vertical="center"/>
    </x:xf>
    <x:xf numFmtId="202" fontId="20" fillId="0" borderId="0" xfId="0" applyNumberFormat="1" applyFont="1" applyFill="1" applyBorder="1" applyAlignment="1">
      <x:alignment vertical="center"/>
    </x:xf>
    <x:xf numFmtId="0" fontId="20" fillId="13" borderId="0" xfId="0" applyNumberFormat="1" applyFont="1" applyFill="1" applyBorder="1" applyAlignment="1">
      <x:alignment vertical="center"/>
    </x:xf>
    <x:xf numFmtId="0" fontId="20" fillId="12" borderId="0" xfId="0" applyNumberFormat="1" applyFont="1" applyFill="1" applyBorder="1" applyAlignment="1">
      <x:alignment vertical="center"/>
    </x:xf>
    <x:xf numFmtId="201" fontId="20" fillId="13" borderId="0" xfId="0" applyNumberFormat="1" applyFont="1" applyFill="1" applyBorder="1" applyAlignment="1">
      <x:alignment vertical="center"/>
    </x:xf>
    <x:xf numFmtId="201" fontId="20" fillId="12" borderId="0" xfId="0" applyNumberFormat="1" applyFont="1" applyFill="1" applyBorder="1" applyAlignment="1">
      <x:alignment vertical="center"/>
    </x:xf>
    <x:xf numFmtId="204" fontId="20" fillId="13" borderId="0" xfId="0" applyNumberFormat="1" applyFont="1" applyFill="1" applyBorder="1" applyAlignment="1">
      <x:alignment vertical="center"/>
    </x:xf>
    <x:xf numFmtId="204" fontId="20" fillId="12" borderId="0" xfId="0" applyNumberFormat="1" applyFont="1" applyFill="1" applyBorder="1" applyAlignment="1">
      <x:alignment vertical="center"/>
    </x:xf>
    <x:xf numFmtId="0" fontId="20" fillId="13" borderId="0" xfId="0" applyNumberFormat="1" applyFont="1" applyFill="1" applyBorder="1" applyAlignment="1">
      <x:alignment vertical="center" wrapText="1"/>
    </x:xf>
    <x:xf numFmtId="0" fontId="20" fillId="12" borderId="0" xfId="0" applyNumberFormat="1" applyFont="1" applyFill="1" applyBorder="1" applyAlignment="1">
      <x:alignment vertical="center" wrapText="1"/>
    </x:xf>
    <x:xf numFmtId="0" fontId="20" fillId="13" borderId="0" xfId="0" applyNumberFormat="1" applyFont="1" applyFill="1" applyBorder="1" applyAlignment="1">
      <x:alignment horizontal="center" vertical="center" wrapText="1"/>
    </x:xf>
    <x:xf numFmtId="0" fontId="20" fillId="12" borderId="0" xfId="0" applyNumberFormat="1" applyFont="1" applyFill="1" applyBorder="1" applyAlignment="1">
      <x:alignment horizontal="center" vertical="center" wrapText="1"/>
    </x:xf>
    <x:xf numFmtId="0" fontId="20" fillId="10" borderId="0" xfId="0" applyNumberFormat="1" applyFont="1" applyFill="1" applyBorder="1" applyAlignment="1">
      <x:alignment vertical="center" wrapText="1"/>
    </x:xf>
    <x:xf numFmtId="0" fontId="20" fillId="0" borderId="0" xfId="0" applyNumberFormat="1" applyFont="1" applyFill="1" applyBorder="1" applyAlignment="1">
      <x:alignment vertical="center" wrapText="1"/>
    </x:xf>
  </x:cellXfs>
  <x:cellStyles count="1">
    <x:cellStyle name="Normal" xfId="0"/>
  </x:cellStyles>
  <x:dxfs count="15">
    <x:dxf>
      <x:fill>
        <x:patternFill>
          <x:bgColor rgb="FFA977F6"/>
        </x:patternFill>
      </x:fill>
    </x:dxf>
    <x:dxf>
      <x:fill>
        <x:patternFill>
          <x:bgColor rgb="FFFF6675"/>
        </x:patternFill>
      </x:fill>
    </x:dxf>
    <x:dxf>
      <x:fill>
        <x:patternFill>
          <x:bgColor rgb="FF4D7CFE"/>
        </x:patternFill>
      </x:fill>
    </x:dxf>
    <x:dxf>
      <x:fill>
        <x:patternFill>
          <x:bgColor rgb="FF00BFA6"/>
        </x:patternFill>
      </x:fill>
    </x:dxf>
    <x:dxf>
      <x:font>
        <x:color rgb="FF7745C3"/>
      </x:font>
      <x:fill>
        <x:patternFill>
          <x:bgColor rgb="FFF1E9FF"/>
        </x:patternFill>
      </x:fill>
    </x:dxf>
    <x:dxf>
      <x:font>
        <x:b/>
        <x:color rgb="FF92400E"/>
      </x:font>
      <x:fill>
        <x:patternFill>
          <x:bgColor rgb="FFFEF3C7"/>
        </x:patternFill>
      </x:fill>
    </x:dxf>
    <x:dxf>
      <x:font>
        <x:b/>
        <x:color rgb="FFC23647"/>
      </x:font>
      <x:fill>
        <x:patternFill>
          <x:bgColor rgb="FFFFE3EA"/>
        </x:patternFill>
      </x:fill>
    </x:dxf>
    <x:dxf>
      <x:font>
        <x:color rgb="FF7745C3"/>
      </x:font>
      <x:fill>
        <x:patternFill>
          <x:bgColor rgb="FFF1E9FF"/>
        </x:patternFill>
      </x:fill>
    </x:dxf>
    <x:dxf>
      <x:font>
        <x:b/>
        <x:color rgb="FFC23647"/>
      </x:font>
      <x:fill>
        <x:patternFill>
          <x:bgColor rgb="FFFFE3EA"/>
        </x:patternFill>
      </x:fill>
    </x:dxf>
    <x:dxf>
      <x:font>
        <x:b/>
        <x:color rgb="FF3258CD"/>
      </x:font>
      <x:fill>
        <x:patternFill>
          <x:bgColor rgb="FFE7EEFF"/>
        </x:patternFill>
      </x:fill>
    </x:dxf>
    <x:dxf>
      <x:font>
        <x:b/>
        <x:color rgb="FF087E5D"/>
      </x:font>
      <x:fill>
        <x:patternFill>
          <x:bgColor rgb="FFDDF8F3"/>
        </x:patternFill>
      </x:fill>
    </x:dxf>
    <x:dxf>
      <x:font>
        <x:b/>
        <x:color rgb="FFC72745"/>
      </x:font>
      <x:fill>
        <x:patternFill patternType="solid">
          <x:bgColor rgb="FFFFE0E5"/>
        </x:patternFill>
      </x:fill>
    </x:dxf>
    <x:dxf>
      <x:font>
        <x:b/>
        <x:color rgb="FFC72745"/>
      </x:font>
      <x:fill>
        <x:patternFill patternType="solid">
          <x:bgColor rgb="FFFFE0E5"/>
        </x:patternFill>
      </x:fill>
    </x:dxf>
    <x:dxf>
      <x:font>
        <x:b/>
        <x:color rgb="FFC72745"/>
      </x:font>
      <x:fill>
        <x:patternFill patternType="solid">
          <x:bgColor rgb="FFFFE0E5"/>
        </x:patternFill>
      </x:fill>
    </x:dxf>
    <x:dxf>
      <x:font>
        <x:b/>
        <x:color rgb="FF9A6200"/>
      </x:font>
      <x:fill>
        <x:patternFill patternType="solid">
          <x:bgColor rgb="FFFFF4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3ecb8a9a3a14bcf" /><Relationship Type="http://schemas.openxmlformats.org/officeDocument/2006/relationships/theme" Target="/xl/theme/theme1.xml" Id="R4329aa5c50764c54" /><Relationship Type="http://schemas.openxmlformats.org/officeDocument/2006/relationships/sharedStrings" Target="/xl/sharedStrings.xml" Id="Ra72e991822e44dc4" /><Relationship Type="http://schemas.openxmlformats.org/officeDocument/2006/relationships/worksheet" Target="/xl/worksheets/sheet1.xml" Id="R1ea4113519654333" /><Relationship Type="http://schemas.openxmlformats.org/officeDocument/2006/relationships/worksheet" Target="/xl/worksheets/sheet2.xml" Id="Rd86dced45b71464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3.33203125" style="14" customWidth="1"/>
    <x:col min="2" max="2" width="19" style="14" customWidth="1"/>
    <x:col min="3" max="3" width="39" style="14" customWidth="1"/>
    <x:col min="4" max="4" width="18" style="14" customWidth="1"/>
    <x:col min="5" max="5" width="15" style="14" customWidth="1"/>
    <x:col min="6" max="6" width="10" style="14" customWidth="1"/>
    <x:col min="7" max="8" width="13" style="14" customWidth="1"/>
    <x:col min="9" max="9" width="10" style="14" customWidth="1"/>
    <x:col min="10" max="10" width="3" style="14" customWidth="1"/>
    <x:col min="11" max="30" width="10" style="14" customWidth="1"/>
    <x:col min="31" max="16384" width="8.83203125" style="14" customWidth="0"/>
  </x:cols>
  <x:sheetData>
    <x:row r="2" ht="32" customHeight="1">
      <x:c r="B2" s="19" t="str">
        <x:v>Luận văn RISC-V trên FPGA và Computer Architecture</x:v>
      </x:c>
      <x:c r="C2" s="19"/>
      <x:c r="D2" s="19"/>
      <x:c r="E2" s="19"/>
      <x:c r="F2" s="19"/>
      <x:c r="G2" s="19"/>
      <x:c r="H2" s="19"/>
      <x:c r="I2" s="19"/>
      <x:c r="J2" s="19"/>
      <x:c r="K2" s="19"/>
      <x:c r="L2" s="19"/>
      <x:c r="M2" s="19"/>
      <x:c r="N2" s="19"/>
      <x:c r="O2" s="19"/>
      <x:c r="P2" s="19"/>
      <x:c r="Q2" s="19"/>
      <x:c r="R2" s="19"/>
      <x:c r="S2" s="20" t="str">
        <x:v>HK1 2026–2027</x:v>
      </x:c>
      <x:c r="T2" s="20"/>
      <x:c r="U2" s="20"/>
      <x:c r="V2" s="20"/>
      <x:c r="W2" s="20"/>
      <x:c r="X2" s="20"/>
      <x:c r="Y2" s="20"/>
      <x:c r="Z2" s="20"/>
      <x:c r="AA2" s="20"/>
      <x:c r="AB2" s="20"/>
      <x:c r="AC2" s="20"/>
      <x:c r="AD2" s="20"/>
    </x:row>
    <x:row r="3">
      <x:c r="B3" s="15"/>
      <x:c r="C3" s="15"/>
      <x:c r="D3" s="15"/>
      <x:c r="E3" s="15"/>
      <x:c r="F3" s="15"/>
      <x:c r="G3" s="15"/>
      <x:c r="H3" s="15"/>
      <x:c r="I3" s="15"/>
      <x:c r="J3" s="15"/>
      <x:c r="K3" s="15"/>
      <x:c r="L3" s="15"/>
      <x:c r="M3" s="15"/>
      <x:c r="N3" s="15"/>
      <x:c r="O3" s="15"/>
      <x:c r="P3" s="15"/>
      <x:c r="Q3" s="15"/>
      <x:c r="R3" s="15"/>
      <x:c r="S3" s="15"/>
      <x:c r="T3" s="15"/>
      <x:c r="U3" s="15"/>
      <x:c r="V3" s="15"/>
      <x:c r="W3" s="15"/>
      <x:c r="X3" s="15"/>
      <x:c r="Y3" s="15"/>
      <x:c r="Z3" s="15"/>
      <x:c r="AA3" s="15"/>
      <x:c r="AB3" s="15"/>
      <x:c r="AC3" s="15"/>
      <x:c r="AD3" s="15"/>
    </x:row>
    <x:row r="4" ht="22" customHeight="1">
      <x:c r="B4" s="21" t="str">
        <x:v>THÔNG TIN KẾ HOẠCH</x:v>
      </x:c>
      <x:c r="C4" s="21"/>
      <x:c r="D4" s="21"/>
      <x:c r="E4" s="21"/>
      <x:c r="F4" s="21"/>
      <x:c r="G4" s="21"/>
      <x:c r="H4" s="21"/>
      <x:c r="I4" s="21"/>
      <x:c r="J4" s="15"/>
      <x:c r="K4" s="21" t="str">
        <x:v>TIẾN ĐỘ CÔNG VIỆC VÀ MỐC</x:v>
      </x:c>
      <x:c r="L4" s="21"/>
      <x:c r="M4" s="21"/>
      <x:c r="N4" s="21"/>
      <x:c r="O4" s="21"/>
      <x:c r="P4" s="21"/>
      <x:c r="Q4" s="21"/>
      <x:c r="R4" s="21"/>
      <x:c r="S4" s="21"/>
      <x:c r="T4" s="21"/>
      <x:c r="U4" s="21"/>
      <x:c r="V4" s="21"/>
      <x:c r="W4" s="21"/>
      <x:c r="X4" s="21"/>
      <x:c r="Y4" s="21"/>
      <x:c r="Z4" s="21"/>
      <x:c r="AA4" s="21"/>
      <x:c r="AB4" s="21"/>
      <x:c r="AC4" s="21"/>
      <x:c r="AD4" s="21"/>
    </x:row>
    <x:row r="5" ht="22" customHeight="1">
      <x:c r="B5" s="18" t="str">
        <x:v>Đề tài</x:v>
      </x:c>
      <x:c r="C5" s="22" t="str">
        <x:v>RV32 FPGA với custom instructions cho DSP</x:v>
      </x:c>
      <x:c r="D5" s="22"/>
      <x:c r="E5" s="22"/>
      <x:c r="F5" s="27" t="str">
        <x:v>Học viên</x:v>
      </x:c>
      <x:c r="G5" s="28"/>
      <x:c r="H5" s="23" t="str">
        <x:v>Nguyễn Hải Minh</x:v>
      </x:c>
      <x:c r="I5" s="23"/>
      <x:c r="J5" s="15"/>
      <x:c r="K5" s="24" t="str">
        <x:v>TỔNG MỤC</x:v>
      </x:c>
      <x:c r="L5" s="25"/>
      <x:c r="M5" s="25"/>
      <x:c r="N5" s="26"/>
      <x:c r="O5" s="24" t="str">
        <x:v>HOÀN THÀNH</x:v>
      </x:c>
      <x:c r="P5" s="25"/>
      <x:c r="Q5" s="25"/>
      <x:c r="R5" s="26"/>
      <x:c r="S5" s="24" t="str">
        <x:v>ĐANG LÀM</x:v>
      </x:c>
      <x:c r="T5" s="25"/>
      <x:c r="U5" s="25"/>
      <x:c r="V5" s="26"/>
      <x:c r="W5" s="24" t="str">
        <x:v>CÓ RỦI RO</x:v>
      </x:c>
      <x:c r="X5" s="25"/>
      <x:c r="Y5" s="25"/>
      <x:c r="Z5" s="26"/>
      <x:c r="AA5" s="24" t="str">
        <x:v>ƯU TIÊN P0</x:v>
      </x:c>
      <x:c r="AB5" s="25"/>
      <x:c r="AC5" s="25"/>
      <x:c r="AD5" s="26"/>
    </x:row>
    <x:row r="6" ht="22" customHeight="1">
      <x:c r="B6" s="18" t="str">
        <x:v>Giai đoạn</x:v>
      </x:c>
      <x:c r="C6" s="23" t="str">
        <x:v>2026.1A và 2026.1B, lịch đề xuất</x:v>
      </x:c>
      <x:c r="D6" s="23"/>
      <x:c r="E6" s="23"/>
      <x:c r="F6" s="27" t="str">
        <x:v>Ngày bắt đầu</x:v>
      </x:c>
      <x:c r="G6" s="28"/>
      <x:c r="H6" s="48" t="n">
        <x:v>46300</x:v>
      </x:c>
      <x:c r="I6" s="41"/>
      <x:c r="J6" s="15"/>
      <x:c r="K6" s="42" t="n">
        <x:f>COUNTA($C$10:$C$39)</x:f>
        <x:v>30</x:v>
      </x:c>
      <x:c r="L6" s="43"/>
      <x:c r="M6" s="43"/>
      <x:c r="N6" s="44"/>
      <x:c r="O6" s="45" t="n">
        <x:f>COUNTIF($E$10:$E$39,"Complete")</x:f>
        <x:v>0</x:v>
      </x:c>
      <x:c r="P6" s="46"/>
      <x:c r="Q6" s="46"/>
      <x:c r="R6" s="47"/>
      <x:c r="S6" s="35" t="n">
        <x:f>COUNTIF($E$10:$E$39,"In Progress")</x:f>
        <x:v>0</x:v>
      </x:c>
      <x:c r="T6" s="36"/>
      <x:c r="U6" s="36"/>
      <x:c r="V6" s="37"/>
      <x:c r="W6" s="38" t="n">
        <x:f>COUNTIF($E$10:$E$39,"At Risk")</x:f>
        <x:v>0</x:v>
      </x:c>
      <x:c r="X6" s="39"/>
      <x:c r="Y6" s="39"/>
      <x:c r="Z6" s="40"/>
      <x:c r="AA6" s="38" t="n">
        <x:f>COUNTIF($F$10:$F$39,"P0")</x:f>
        <x:v>25</x:v>
      </x:c>
      <x:c r="AB6" s="39"/>
      <x:c r="AC6" s="39"/>
      <x:c r="AD6" s="40"/>
    </x:row>
    <x:row r="7">
      <x:c r="B7" s="15"/>
      <x:c r="C7" s="15"/>
      <x:c r="D7" s="15"/>
      <x:c r="E7" s="15"/>
      <x:c r="F7" s="15"/>
      <x:c r="G7" s="15"/>
      <x:c r="H7" s="15"/>
      <x:c r="I7" s="15"/>
      <x:c r="J7" s="15"/>
      <x:c r="K7" s="15"/>
      <x:c r="L7" s="15"/>
      <x:c r="M7" s="15"/>
      <x:c r="N7" s="15"/>
      <x:c r="O7" s="15"/>
      <x:c r="P7" s="15"/>
      <x:c r="Q7" s="15"/>
      <x:c r="R7" s="15"/>
      <x:c r="S7" s="15"/>
      <x:c r="T7" s="15"/>
      <x:c r="U7" s="15"/>
      <x:c r="V7" s="15"/>
      <x:c r="W7" s="15"/>
      <x:c r="X7" s="15"/>
      <x:c r="Y7" s="15"/>
      <x:c r="Z7" s="15"/>
      <x:c r="AA7" s="15"/>
      <x:c r="AB7" s="15"/>
      <x:c r="AC7" s="15"/>
      <x:c r="AD7" s="15"/>
    </x:row>
    <x:row r="8" ht="22" customHeight="1">
      <x:c r="B8" s="21" t="str">
        <x:v>CÔNG VIỆC HỌC KỲ ĐẦU</x:v>
      </x:c>
      <x:c r="C8" s="21"/>
      <x:c r="D8" s="21"/>
      <x:c r="E8" s="21"/>
      <x:c r="F8" s="21"/>
      <x:c r="G8" s="21"/>
      <x:c r="H8" s="21"/>
      <x:c r="I8" s="21"/>
      <x:c r="J8" s="15"/>
      <x:c r="K8" s="21" t="str">
        <x:v>GANTT 20 TUẦN: 16 TUẦN KẾ HOẠCH VÀ 4 TUẦN TRỐNG</x:v>
      </x:c>
      <x:c r="L8" s="21"/>
      <x:c r="M8" s="21"/>
      <x:c r="N8" s="21"/>
      <x:c r="O8" s="21"/>
      <x:c r="P8" s="21"/>
      <x:c r="Q8" s="21"/>
      <x:c r="R8" s="21"/>
      <x:c r="S8" s="21"/>
      <x:c r="T8" s="21"/>
      <x:c r="U8" s="21"/>
      <x:c r="V8" s="21"/>
      <x:c r="W8" s="21"/>
      <x:c r="X8" s="21"/>
      <x:c r="Y8" s="21"/>
      <x:c r="Z8" s="21"/>
      <x:c r="AA8" s="21"/>
      <x:c r="AB8" s="21"/>
      <x:c r="AC8" s="21"/>
      <x:c r="AD8" s="21"/>
    </x:row>
    <x:row r="9" ht="28" customHeight="1">
      <x:c r="B9" s="1" t="str">
        <x:v>Nhóm việc</x:v>
      </x:c>
      <x:c r="C9" s="1" t="str">
        <x:v>Công việc</x:v>
      </x:c>
      <x:c r="D9" s="1" t="str">
        <x:v>Người làm</x:v>
      </x:c>
      <x:c r="E9" s="1" t="str">
        <x:v>Trạng thái</x:v>
      </x:c>
      <x:c r="F9" s="1" t="str">
        <x:v>Ưu tiên</x:v>
      </x:c>
      <x:c r="G9" s="1" t="str">
        <x:v>Bắt đầu</x:v>
      </x:c>
      <x:c r="H9" s="1" t="str">
        <x:v>Kết thúc</x:v>
      </x:c>
      <x:c r="I9" s="1" t="str">
        <x:v>Số ngày</x:v>
      </x:c>
      <x:c r="J9" s="15"/>
      <x:c r="K9" s="56" t="n">
        <x:f>$H$6</x:f>
        <x:v>46300</x:v>
      </x:c>
      <x:c r="L9" s="56" t="n">
        <x:f t="shared" ref="L9:AD9" si="0">K9+7</x:f>
        <x:v>46307</x:v>
      </x:c>
      <x:c r="M9" s="56" t="n">
        <x:f t="shared" si="0">L9+7</x:f>
        <x:v>46314</x:v>
      </x:c>
      <x:c r="N9" s="56" t="n">
        <x:f t="shared" si="0">M9+7</x:f>
        <x:v>46321</x:v>
      </x:c>
      <x:c r="O9" s="56" t="n">
        <x:f t="shared" si="0">N9+7</x:f>
        <x:v>46328</x:v>
      </x:c>
      <x:c r="P9" s="56" t="n">
        <x:f t="shared" si="0">O9+7</x:f>
        <x:v>46335</x:v>
      </x:c>
      <x:c r="Q9" s="56" t="n">
        <x:f t="shared" si="0">P9+7</x:f>
        <x:v>46342</x:v>
      </x:c>
      <x:c r="R9" s="56" t="n">
        <x:f t="shared" si="0">Q9+7</x:f>
        <x:v>46349</x:v>
      </x:c>
      <x:c r="S9" s="56" t="n">
        <x:f t="shared" si="0">R9+7</x:f>
        <x:v>46356</x:v>
      </x:c>
      <x:c r="T9" s="56" t="n">
        <x:f t="shared" si="0">S9+7</x:f>
        <x:v>46363</x:v>
      </x:c>
      <x:c r="U9" s="56" t="n">
        <x:f t="shared" si="0">T9+7</x:f>
        <x:v>46370</x:v>
      </x:c>
      <x:c r="V9" s="56" t="n">
        <x:f t="shared" si="0">U9+7</x:f>
        <x:v>46377</x:v>
      </x:c>
      <x:c r="W9" s="56" t="n">
        <x:f t="shared" si="0">V9+7</x:f>
        <x:v>46384</x:v>
      </x:c>
      <x:c r="X9" s="56" t="n">
        <x:f t="shared" si="0">W9+7</x:f>
        <x:v>46391</x:v>
      </x:c>
      <x:c r="Y9" s="56" t="n">
        <x:f t="shared" si="0">X9+7</x:f>
        <x:v>46398</x:v>
      </x:c>
      <x:c r="Z9" s="56" t="n">
        <x:f t="shared" si="0">Y9+7</x:f>
        <x:v>46405</x:v>
      </x:c>
      <x:c r="AA9" s="56" t="n">
        <x:f t="shared" si="0">Z9+7</x:f>
        <x:v>46412</x:v>
      </x:c>
      <x:c r="AB9" s="56" t="n">
        <x:f t="shared" si="0">AA9+7</x:f>
        <x:v>46419</x:v>
      </x:c>
      <x:c r="AC9" s="56" t="n">
        <x:f t="shared" si="0">AB9+7</x:f>
        <x:v>46426</x:v>
      </x:c>
      <x:c r="AD9" s="56" t="n">
        <x:f t="shared" si="0">AC9+7</x:f>
        <x:v>46433</x:v>
      </x:c>
    </x:row>
    <x:row r="10" ht="23" customHeight="1">
      <x:c r="B10" s="5" t="str">
        <x:v>CA 1A</x:v>
      </x:c>
      <x:c r="C10" s="49" t="str">
        <x:v>C01 Biểu diễn số và C cơ bản</x:v>
      </x:c>
      <x:c r="D10" s="7" t="str">
        <x:v>Nguyễn Hải Minh</x:v>
      </x:c>
      <x:c r="E10" s="7" t="str">
        <x:v>Not Started</x:v>
      </x:c>
      <x:c r="F10" s="7" t="str">
        <x:v>P0</x:v>
      </x:c>
      <x:c r="G10" s="53" t="n">
        <x:f>IF(OR($H$6="",'Chi tiet HK1'!E8="",'Chi tiet HK1'!F8="",'Chi tiet HK1'!F8&lt;'Chi tiet HK1'!E8),"",IF('Chi tiet HK1'!D8="Mốc",$H$6+'Chi tiet HK1'!F8*7-1,$H$6+('Chi tiet HK1'!E8-1)*7))</x:f>
        <x:v>46300</x:v>
      </x:c>
      <x:c r="H10" s="53" t="n">
        <x:f>IF(OR($H$6="",'Chi tiet HK1'!E8="",'Chi tiet HK1'!F8="",'Chi tiet HK1'!F8&lt;'Chi tiet HK1'!E8),"",$H$6+'Chi tiet HK1'!F8*7-1)</x:f>
        <x:v>46306</x:v>
      </x:c>
      <x:c r="I10" s="55" t="n">
        <x:f t="shared" ref="I10:I39" si="1">IF(OR(G10="",H10="",H10&lt;G10),"",H10-G10+1)</x:f>
        <x:v>7</x:v>
      </x:c>
      <x:c r="J10" s="15"/>
      <x:c r="K10" s="12" t="n">
        <x:f t="shared" ref="K10:T19" si="2">IF(OR($G10="",$H10="",$H10&lt;$G10),"",IF(AND(K$9&lt;=$H10,K$9+6&gt;=$G10),1,""))</x:f>
        <x:v>1</x:v>
      </x:c>
      <x:c r="L10" s="13" t="str">
        <x:f t="shared" si="2">IF(OR($G10="",$H10="",$H10&lt;$G10),"",IF(AND(L$9&lt;=$H10,L$9+6&gt;=$G10),1,""))</x:f>
      </x:c>
      <x:c r="M10" s="12" t="str">
        <x:f t="shared" si="2">IF(OR($G10="",$H10="",$H10&lt;$G10),"",IF(AND(M$9&lt;=$H10,M$9+6&gt;=$G10),1,""))</x:f>
      </x:c>
      <x:c r="N10" s="13" t="str">
        <x:f t="shared" si="2">IF(OR($G10="",$H10="",$H10&lt;$G10),"",IF(AND(N$9&lt;=$H10,N$9+6&gt;=$G10),1,""))</x:f>
      </x:c>
      <x:c r="O10" s="12" t="str">
        <x:f t="shared" si="2">IF(OR($G10="",$H10="",$H10&lt;$G10),"",IF(AND(O$9&lt;=$H10,O$9+6&gt;=$G10),1,""))</x:f>
      </x:c>
      <x:c r="P10" s="13" t="str">
        <x:f t="shared" si="2">IF(OR($G10="",$H10="",$H10&lt;$G10),"",IF(AND(P$9&lt;=$H10,P$9+6&gt;=$G10),1,""))</x:f>
      </x:c>
      <x:c r="Q10" s="12" t="str">
        <x:f t="shared" si="2">IF(OR($G10="",$H10="",$H10&lt;$G10),"",IF(AND(Q$9&lt;=$H10,Q$9+6&gt;=$G10),1,""))</x:f>
      </x:c>
      <x:c r="R10" s="13" t="str">
        <x:f t="shared" si="2">IF(OR($G10="",$H10="",$H10&lt;$G10),"",IF(AND(R$9&lt;=$H10,R$9+6&gt;=$G10),1,""))</x:f>
      </x:c>
      <x:c r="S10" s="12" t="str">
        <x:f t="shared" si="2">IF(OR($G10="",$H10="",$H10&lt;$G10),"",IF(AND(S$9&lt;=$H10,S$9+6&gt;=$G10),1,""))</x:f>
      </x:c>
      <x:c r="T10" s="13" t="str">
        <x:f t="shared" si="2">IF(OR($G10="",$H10="",$H10&lt;$G10),"",IF(AND(T$9&lt;=$H10,T$9+6&gt;=$G10),1,""))</x:f>
      </x:c>
      <x:c r="U10" s="12" t="str">
        <x:f t="shared" ref="U10:AD19" si="3">IF(OR($G10="",$H10="",$H10&lt;$G10),"",IF(AND(U$9&lt;=$H10,U$9+6&gt;=$G10),1,""))</x:f>
      </x:c>
      <x:c r="V10" s="13" t="str">
        <x:f t="shared" si="3">IF(OR($G10="",$H10="",$H10&lt;$G10),"",IF(AND(V$9&lt;=$H10,V$9+6&gt;=$G10),1,""))</x:f>
      </x:c>
      <x:c r="W10" s="12" t="str">
        <x:f t="shared" si="3">IF(OR($G10="",$H10="",$H10&lt;$G10),"",IF(AND(W$9&lt;=$H10,W$9+6&gt;=$G10),1,""))</x:f>
      </x:c>
      <x:c r="X10" s="13" t="str">
        <x:f t="shared" si="3">IF(OR($G10="",$H10="",$H10&lt;$G10),"",IF(AND(X$9&lt;=$H10,X$9+6&gt;=$G10),1,""))</x:f>
      </x:c>
      <x:c r="Y10" s="12" t="str">
        <x:f t="shared" si="3">IF(OR($G10="",$H10="",$H10&lt;$G10),"",IF(AND(Y$9&lt;=$H10,Y$9+6&gt;=$G10),1,""))</x:f>
      </x:c>
      <x:c r="Z10" s="13" t="str">
        <x:f t="shared" si="3">IF(OR($G10="",$H10="",$H10&lt;$G10),"",IF(AND(Z$9&lt;=$H10,Z$9+6&gt;=$G10),1,""))</x:f>
      </x:c>
      <x:c r="AA10" s="12" t="str">
        <x:f t="shared" si="3">IF(OR($G10="",$H10="",$H10&lt;$G10),"",IF(AND(AA$9&lt;=$H10,AA$9+6&gt;=$G10),1,""))</x:f>
      </x:c>
      <x:c r="AB10" s="13" t="str">
        <x:f t="shared" si="3">IF(OR($G10="",$H10="",$H10&lt;$G10),"",IF(AND(AB$9&lt;=$H10,AB$9+6&gt;=$G10),1,""))</x:f>
      </x:c>
      <x:c r="AC10" s="12" t="str">
        <x:f t="shared" si="3">IF(OR($G10="",$H10="",$H10&lt;$G10),"",IF(AND(AC$9&lt;=$H10,AC$9+6&gt;=$G10),1,""))</x:f>
      </x:c>
      <x:c r="AD10" s="13" t="str">
        <x:f t="shared" si="3">IF(OR($G10="",$H10="",$H10&lt;$G10),"",IF(AND(AD$9&lt;=$H10,AD$9+6&gt;=$G10),1,""))</x:f>
      </x:c>
    </x:row>
    <x:row r="11" ht="23" customHeight="1">
      <x:c r="B11" s="6" t="str">
        <x:v>CA 1A</x:v>
      </x:c>
      <x:c r="C11" s="50" t="str">
        <x:v>C02 Logic số và RTL căn bản</x:v>
      </x:c>
      <x:c r="D11" s="8" t="str">
        <x:v>Nguyễn Hải Minh</x:v>
      </x:c>
      <x:c r="E11" s="8" t="str">
        <x:v>Not Started</x:v>
      </x:c>
      <x:c r="F11" s="8" t="str">
        <x:v>P0</x:v>
      </x:c>
      <x:c r="G11" s="54" t="n">
        <x:f>IF(OR($H$6="",'Chi tiet HK1'!E9="",'Chi tiet HK1'!F9="",'Chi tiet HK1'!F9&lt;'Chi tiet HK1'!E9),"",IF('Chi tiet HK1'!D9="Mốc",$H$6+'Chi tiet HK1'!F9*7-1,$H$6+('Chi tiet HK1'!E9-1)*7))</x:f>
        <x:v>46307</x:v>
      </x:c>
      <x:c r="H11" s="54" t="n">
        <x:f>IF(OR($H$6="",'Chi tiet HK1'!E9="",'Chi tiet HK1'!F9="",'Chi tiet HK1'!F9&lt;'Chi tiet HK1'!E9),"",$H$6+'Chi tiet HK1'!F9*7-1)</x:f>
        <x:v>46313</x:v>
      </x:c>
      <x:c r="I11" s="55" t="n">
        <x:f t="shared" si="1">IF(OR(G11="",H11="",H11&lt;G11),"",H11-G11+1)</x:f>
        <x:v>7</x:v>
      </x:c>
      <x:c r="J11" s="15"/>
      <x:c r="K11" s="12" t="str">
        <x:f t="shared" si="2">IF(OR($G11="",$H11="",$H11&lt;$G11),"",IF(AND(K$9&lt;=$H11,K$9+6&gt;=$G11),1,""))</x:f>
      </x:c>
      <x:c r="L11" s="13" t="n">
        <x:f t="shared" si="2">IF(OR($G11="",$H11="",$H11&lt;$G11),"",IF(AND(L$9&lt;=$H11,L$9+6&gt;=$G11),1,""))</x:f>
        <x:v>1</x:v>
      </x:c>
      <x:c r="M11" s="12" t="str">
        <x:f t="shared" si="2">IF(OR($G11="",$H11="",$H11&lt;$G11),"",IF(AND(M$9&lt;=$H11,M$9+6&gt;=$G11),1,""))</x:f>
      </x:c>
      <x:c r="N11" s="13" t="str">
        <x:f t="shared" si="2">IF(OR($G11="",$H11="",$H11&lt;$G11),"",IF(AND(N$9&lt;=$H11,N$9+6&gt;=$G11),1,""))</x:f>
      </x:c>
      <x:c r="O11" s="12" t="str">
        <x:f t="shared" si="2">IF(OR($G11="",$H11="",$H11&lt;$G11),"",IF(AND(O$9&lt;=$H11,O$9+6&gt;=$G11),1,""))</x:f>
      </x:c>
      <x:c r="P11" s="13" t="str">
        <x:f t="shared" si="2">IF(OR($G11="",$H11="",$H11&lt;$G11),"",IF(AND(P$9&lt;=$H11,P$9+6&gt;=$G11),1,""))</x:f>
      </x:c>
      <x:c r="Q11" s="12" t="str">
        <x:f t="shared" si="2">IF(OR($G11="",$H11="",$H11&lt;$G11),"",IF(AND(Q$9&lt;=$H11,Q$9+6&gt;=$G11),1,""))</x:f>
      </x:c>
      <x:c r="R11" s="13" t="str">
        <x:f t="shared" si="2">IF(OR($G11="",$H11="",$H11&lt;$G11),"",IF(AND(R$9&lt;=$H11,R$9+6&gt;=$G11),1,""))</x:f>
      </x:c>
      <x:c r="S11" s="12" t="str">
        <x:f t="shared" si="2">IF(OR($G11="",$H11="",$H11&lt;$G11),"",IF(AND(S$9&lt;=$H11,S$9+6&gt;=$G11),1,""))</x:f>
      </x:c>
      <x:c r="T11" s="13" t="str">
        <x:f t="shared" si="2">IF(OR($G11="",$H11="",$H11&lt;$G11),"",IF(AND(T$9&lt;=$H11,T$9+6&gt;=$G11),1,""))</x:f>
      </x:c>
      <x:c r="U11" s="12" t="str">
        <x:f t="shared" si="3">IF(OR($G11="",$H11="",$H11&lt;$G11),"",IF(AND(U$9&lt;=$H11,U$9+6&gt;=$G11),1,""))</x:f>
      </x:c>
      <x:c r="V11" s="13" t="str">
        <x:f t="shared" si="3">IF(OR($G11="",$H11="",$H11&lt;$G11),"",IF(AND(V$9&lt;=$H11,V$9+6&gt;=$G11),1,""))</x:f>
      </x:c>
      <x:c r="W11" s="12" t="str">
        <x:f t="shared" si="3">IF(OR($G11="",$H11="",$H11&lt;$G11),"",IF(AND(W$9&lt;=$H11,W$9+6&gt;=$G11),1,""))</x:f>
      </x:c>
      <x:c r="X11" s="13" t="str">
        <x:f t="shared" si="3">IF(OR($G11="",$H11="",$H11&lt;$G11),"",IF(AND(X$9&lt;=$H11,X$9+6&gt;=$G11),1,""))</x:f>
      </x:c>
      <x:c r="Y11" s="12" t="str">
        <x:f t="shared" si="3">IF(OR($G11="",$H11="",$H11&lt;$G11),"",IF(AND(Y$9&lt;=$H11,Y$9+6&gt;=$G11),1,""))</x:f>
      </x:c>
      <x:c r="Z11" s="13" t="str">
        <x:f t="shared" si="3">IF(OR($G11="",$H11="",$H11&lt;$G11),"",IF(AND(Z$9&lt;=$H11,Z$9+6&gt;=$G11),1,""))</x:f>
      </x:c>
      <x:c r="AA11" s="12" t="str">
        <x:f t="shared" si="3">IF(OR($G11="",$H11="",$H11&lt;$G11),"",IF(AND(AA$9&lt;=$H11,AA$9+6&gt;=$G11),1,""))</x:f>
      </x:c>
      <x:c r="AB11" s="13" t="str">
        <x:f t="shared" si="3">IF(OR($G11="",$H11="",$H11&lt;$G11),"",IF(AND(AB$9&lt;=$H11,AB$9+6&gt;=$G11),1,""))</x:f>
      </x:c>
      <x:c r="AC11" s="12" t="str">
        <x:f t="shared" si="3">IF(OR($G11="",$H11="",$H11&lt;$G11),"",IF(AND(AC$9&lt;=$H11,AC$9+6&gt;=$G11),1,""))</x:f>
      </x:c>
      <x:c r="AD11" s="13" t="str">
        <x:f t="shared" si="3">IF(OR($G11="",$H11="",$H11&lt;$G11),"",IF(AND(AD$9&lt;=$H11,AD$9+6&gt;=$G11),1,""))</x:f>
      </x:c>
    </x:row>
    <x:row r="12" ht="23" customHeight="1">
      <x:c r="B12" s="5" t="str">
        <x:v>CA 1A</x:v>
      </x:c>
      <x:c r="C12" s="49" t="str">
        <x:v>C03 RV32I và assembly</x:v>
      </x:c>
      <x:c r="D12" s="7" t="str">
        <x:v>Nguyễn Hải Minh</x:v>
      </x:c>
      <x:c r="E12" s="7" t="str">
        <x:v>Not Started</x:v>
      </x:c>
      <x:c r="F12" s="7" t="str">
        <x:v>P0</x:v>
      </x:c>
      <x:c r="G12" s="53" t="n">
        <x:f>IF(OR($H$6="",'Chi tiet HK1'!E10="",'Chi tiet HK1'!F10="",'Chi tiet HK1'!F10&lt;'Chi tiet HK1'!E10),"",IF('Chi tiet HK1'!D10="Mốc",$H$6+'Chi tiet HK1'!F10*7-1,$H$6+('Chi tiet HK1'!E10-1)*7))</x:f>
        <x:v>46314</x:v>
      </x:c>
      <x:c r="H12" s="53" t="n">
        <x:f>IF(OR($H$6="",'Chi tiet HK1'!E10="",'Chi tiet HK1'!F10="",'Chi tiet HK1'!F10&lt;'Chi tiet HK1'!E10),"",$H$6+'Chi tiet HK1'!F10*7-1)</x:f>
        <x:v>46327</x:v>
      </x:c>
      <x:c r="I12" s="55" t="n">
        <x:f t="shared" si="1">IF(OR(G12="",H12="",H12&lt;G12),"",H12-G12+1)</x:f>
        <x:v>14</x:v>
      </x:c>
      <x:c r="J12" s="15"/>
      <x:c r="K12" s="12" t="str">
        <x:f t="shared" si="2">IF(OR($G12="",$H12="",$H12&lt;$G12),"",IF(AND(K$9&lt;=$H12,K$9+6&gt;=$G12),1,""))</x:f>
      </x:c>
      <x:c r="L12" s="13" t="str">
        <x:f t="shared" si="2">IF(OR($G12="",$H12="",$H12&lt;$G12),"",IF(AND(L$9&lt;=$H12,L$9+6&gt;=$G12),1,""))</x:f>
      </x:c>
      <x:c r="M12" s="12" t="n">
        <x:f t="shared" si="2">IF(OR($G12="",$H12="",$H12&lt;$G12),"",IF(AND(M$9&lt;=$H12,M$9+6&gt;=$G12),1,""))</x:f>
        <x:v>1</x:v>
      </x:c>
      <x:c r="N12" s="13" t="n">
        <x:f t="shared" si="2">IF(OR($G12="",$H12="",$H12&lt;$G12),"",IF(AND(N$9&lt;=$H12,N$9+6&gt;=$G12),1,""))</x:f>
        <x:v>1</x:v>
      </x:c>
      <x:c r="O12" s="12" t="str">
        <x:f t="shared" si="2">IF(OR($G12="",$H12="",$H12&lt;$G12),"",IF(AND(O$9&lt;=$H12,O$9+6&gt;=$G12),1,""))</x:f>
      </x:c>
      <x:c r="P12" s="13" t="str">
        <x:f t="shared" si="2">IF(OR($G12="",$H12="",$H12&lt;$G12),"",IF(AND(P$9&lt;=$H12,P$9+6&gt;=$G12),1,""))</x:f>
      </x:c>
      <x:c r="Q12" s="12" t="str">
        <x:f t="shared" si="2">IF(OR($G12="",$H12="",$H12&lt;$G12),"",IF(AND(Q$9&lt;=$H12,Q$9+6&gt;=$G12),1,""))</x:f>
      </x:c>
      <x:c r="R12" s="13" t="str">
        <x:f t="shared" si="2">IF(OR($G12="",$H12="",$H12&lt;$G12),"",IF(AND(R$9&lt;=$H12,R$9+6&gt;=$G12),1,""))</x:f>
      </x:c>
      <x:c r="S12" s="12" t="str">
        <x:f t="shared" si="2">IF(OR($G12="",$H12="",$H12&lt;$G12),"",IF(AND(S$9&lt;=$H12,S$9+6&gt;=$G12),1,""))</x:f>
      </x:c>
      <x:c r="T12" s="13" t="str">
        <x:f t="shared" si="2">IF(OR($G12="",$H12="",$H12&lt;$G12),"",IF(AND(T$9&lt;=$H12,T$9+6&gt;=$G12),1,""))</x:f>
      </x:c>
      <x:c r="U12" s="12" t="str">
        <x:f t="shared" si="3">IF(OR($G12="",$H12="",$H12&lt;$G12),"",IF(AND(U$9&lt;=$H12,U$9+6&gt;=$G12),1,""))</x:f>
      </x:c>
      <x:c r="V12" s="13" t="str">
        <x:f t="shared" si="3">IF(OR($G12="",$H12="",$H12&lt;$G12),"",IF(AND(V$9&lt;=$H12,V$9+6&gt;=$G12),1,""))</x:f>
      </x:c>
      <x:c r="W12" s="12" t="str">
        <x:f t="shared" si="3">IF(OR($G12="",$H12="",$H12&lt;$G12),"",IF(AND(W$9&lt;=$H12,W$9+6&gt;=$G12),1,""))</x:f>
      </x:c>
      <x:c r="X12" s="13" t="str">
        <x:f t="shared" si="3">IF(OR($G12="",$H12="",$H12&lt;$G12),"",IF(AND(X$9&lt;=$H12,X$9+6&gt;=$G12),1,""))</x:f>
      </x:c>
      <x:c r="Y12" s="12" t="str">
        <x:f t="shared" si="3">IF(OR($G12="",$H12="",$H12&lt;$G12),"",IF(AND(Y$9&lt;=$H12,Y$9+6&gt;=$G12),1,""))</x:f>
      </x:c>
      <x:c r="Z12" s="13" t="str">
        <x:f t="shared" si="3">IF(OR($G12="",$H12="",$H12&lt;$G12),"",IF(AND(Z$9&lt;=$H12,Z$9+6&gt;=$G12),1,""))</x:f>
      </x:c>
      <x:c r="AA12" s="12" t="str">
        <x:f t="shared" si="3">IF(OR($G12="",$H12="",$H12&lt;$G12),"",IF(AND(AA$9&lt;=$H12,AA$9+6&gt;=$G12),1,""))</x:f>
      </x:c>
      <x:c r="AB12" s="13" t="str">
        <x:f t="shared" si="3">IF(OR($G12="",$H12="",$H12&lt;$G12),"",IF(AND(AB$9&lt;=$H12,AB$9+6&gt;=$G12),1,""))</x:f>
      </x:c>
      <x:c r="AC12" s="12" t="str">
        <x:f t="shared" si="3">IF(OR($G12="",$H12="",$H12&lt;$G12),"",IF(AND(AC$9&lt;=$H12,AC$9+6&gt;=$G12),1,""))</x:f>
      </x:c>
      <x:c r="AD12" s="13" t="str">
        <x:f t="shared" si="3">IF(OR($G12="",$H12="",$H12&lt;$G12),"",IF(AND(AD$9&lt;=$H12,AD$9+6&gt;=$G12),1,""))</x:f>
      </x:c>
    </x:row>
    <x:row r="13" ht="23" customHeight="1">
      <x:c r="B13" s="6" t="str">
        <x:v>CA 1A</x:v>
      </x:c>
      <x:c r="C13" s="50" t="str">
        <x:v>C04 ABI và luồng biên dịch</x:v>
      </x:c>
      <x:c r="D13" s="8" t="str">
        <x:v>Nguyễn Hải Minh</x:v>
      </x:c>
      <x:c r="E13" s="8" t="str">
        <x:v>Not Started</x:v>
      </x:c>
      <x:c r="F13" s="8" t="str">
        <x:v>P0</x:v>
      </x:c>
      <x:c r="G13" s="54" t="n">
        <x:f>IF(OR($H$6="",'Chi tiet HK1'!E11="",'Chi tiet HK1'!F11="",'Chi tiet HK1'!F11&lt;'Chi tiet HK1'!E11),"",IF('Chi tiet HK1'!D11="Mốc",$H$6+'Chi tiet HK1'!F11*7-1,$H$6+('Chi tiet HK1'!E11-1)*7))</x:f>
        <x:v>46328</x:v>
      </x:c>
      <x:c r="H13" s="54" t="n">
        <x:f>IF(OR($H$6="",'Chi tiet HK1'!E11="",'Chi tiet HK1'!F11="",'Chi tiet HK1'!F11&lt;'Chi tiet HK1'!E11),"",$H$6+'Chi tiet HK1'!F11*7-1)</x:f>
        <x:v>46334</x:v>
      </x:c>
      <x:c r="I13" s="55" t="n">
        <x:f t="shared" si="1">IF(OR(G13="",H13="",H13&lt;G13),"",H13-G13+1)</x:f>
        <x:v>7</x:v>
      </x:c>
      <x:c r="J13" s="15"/>
      <x:c r="K13" s="12" t="str">
        <x:f t="shared" si="2">IF(OR($G13="",$H13="",$H13&lt;$G13),"",IF(AND(K$9&lt;=$H13,K$9+6&gt;=$G13),1,""))</x:f>
      </x:c>
      <x:c r="L13" s="13" t="str">
        <x:f t="shared" si="2">IF(OR($G13="",$H13="",$H13&lt;$G13),"",IF(AND(L$9&lt;=$H13,L$9+6&gt;=$G13),1,""))</x:f>
      </x:c>
      <x:c r="M13" s="12" t="str">
        <x:f t="shared" si="2">IF(OR($G13="",$H13="",$H13&lt;$G13),"",IF(AND(M$9&lt;=$H13,M$9+6&gt;=$G13),1,""))</x:f>
      </x:c>
      <x:c r="N13" s="13" t="str">
        <x:f t="shared" si="2">IF(OR($G13="",$H13="",$H13&lt;$G13),"",IF(AND(N$9&lt;=$H13,N$9+6&gt;=$G13),1,""))</x:f>
      </x:c>
      <x:c r="O13" s="12" t="n">
        <x:f t="shared" si="2">IF(OR($G13="",$H13="",$H13&lt;$G13),"",IF(AND(O$9&lt;=$H13,O$9+6&gt;=$G13),1,""))</x:f>
        <x:v>1</x:v>
      </x:c>
      <x:c r="P13" s="13" t="str">
        <x:f t="shared" si="2">IF(OR($G13="",$H13="",$H13&lt;$G13),"",IF(AND(P$9&lt;=$H13,P$9+6&gt;=$G13),1,""))</x:f>
      </x:c>
      <x:c r="Q13" s="12" t="str">
        <x:f t="shared" si="2">IF(OR($G13="",$H13="",$H13&lt;$G13),"",IF(AND(Q$9&lt;=$H13,Q$9+6&gt;=$G13),1,""))</x:f>
      </x:c>
      <x:c r="R13" s="13" t="str">
        <x:f t="shared" si="2">IF(OR($G13="",$H13="",$H13&lt;$G13),"",IF(AND(R$9&lt;=$H13,R$9+6&gt;=$G13),1,""))</x:f>
      </x:c>
      <x:c r="S13" s="12" t="str">
        <x:f t="shared" si="2">IF(OR($G13="",$H13="",$H13&lt;$G13),"",IF(AND(S$9&lt;=$H13,S$9+6&gt;=$G13),1,""))</x:f>
      </x:c>
      <x:c r="T13" s="13" t="str">
        <x:f t="shared" si="2">IF(OR($G13="",$H13="",$H13&lt;$G13),"",IF(AND(T$9&lt;=$H13,T$9+6&gt;=$G13),1,""))</x:f>
      </x:c>
      <x:c r="U13" s="12" t="str">
        <x:f t="shared" si="3">IF(OR($G13="",$H13="",$H13&lt;$G13),"",IF(AND(U$9&lt;=$H13,U$9+6&gt;=$G13),1,""))</x:f>
      </x:c>
      <x:c r="V13" s="13" t="str">
        <x:f t="shared" si="3">IF(OR($G13="",$H13="",$H13&lt;$G13),"",IF(AND(V$9&lt;=$H13,V$9+6&gt;=$G13),1,""))</x:f>
      </x:c>
      <x:c r="W13" s="12" t="str">
        <x:f t="shared" si="3">IF(OR($G13="",$H13="",$H13&lt;$G13),"",IF(AND(W$9&lt;=$H13,W$9+6&gt;=$G13),1,""))</x:f>
      </x:c>
      <x:c r="X13" s="13" t="str">
        <x:f t="shared" si="3">IF(OR($G13="",$H13="",$H13&lt;$G13),"",IF(AND(X$9&lt;=$H13,X$9+6&gt;=$G13),1,""))</x:f>
      </x:c>
      <x:c r="Y13" s="12" t="str">
        <x:f t="shared" si="3">IF(OR($G13="",$H13="",$H13&lt;$G13),"",IF(AND(Y$9&lt;=$H13,Y$9+6&gt;=$G13),1,""))</x:f>
      </x:c>
      <x:c r="Z13" s="13" t="str">
        <x:f t="shared" si="3">IF(OR($G13="",$H13="",$H13&lt;$G13),"",IF(AND(Z$9&lt;=$H13,Z$9+6&gt;=$G13),1,""))</x:f>
      </x:c>
      <x:c r="AA13" s="12" t="str">
        <x:f t="shared" si="3">IF(OR($G13="",$H13="",$H13&lt;$G13),"",IF(AND(AA$9&lt;=$H13,AA$9+6&gt;=$G13),1,""))</x:f>
      </x:c>
      <x:c r="AB13" s="13" t="str">
        <x:f t="shared" si="3">IF(OR($G13="",$H13="",$H13&lt;$G13),"",IF(AND(AB$9&lt;=$H13,AB$9+6&gt;=$G13),1,""))</x:f>
      </x:c>
      <x:c r="AC13" s="12" t="str">
        <x:f t="shared" si="3">IF(OR($G13="",$H13="",$H13&lt;$G13),"",IF(AND(AC$9&lt;=$H13,AC$9+6&gt;=$G13),1,""))</x:f>
      </x:c>
      <x:c r="AD13" s="13" t="str">
        <x:f t="shared" si="3">IF(OR($G13="",$H13="",$H13&lt;$G13),"",IF(AND(AD$9&lt;=$H13,AD$9+6&gt;=$G13),1,""))</x:f>
      </x:c>
    </x:row>
    <x:row r="14" ht="23" customHeight="1">
      <x:c r="B14" s="5" t="str">
        <x:v>CA 1A</x:v>
      </x:c>
      <x:c r="C14" s="49" t="str">
        <x:v>C05 Datapath và control</x:v>
      </x:c>
      <x:c r="D14" s="7" t="str">
        <x:v>Nguyễn Hải Minh</x:v>
      </x:c>
      <x:c r="E14" s="7" t="str">
        <x:v>Not Started</x:v>
      </x:c>
      <x:c r="F14" s="7" t="str">
        <x:v>P0</x:v>
      </x:c>
      <x:c r="G14" s="53" t="n">
        <x:f>IF(OR($H$6="",'Chi tiet HK1'!E12="",'Chi tiet HK1'!F12="",'Chi tiet HK1'!F12&lt;'Chi tiet HK1'!E12),"",IF('Chi tiet HK1'!D12="Mốc",$H$6+'Chi tiet HK1'!F12*7-1,$H$6+('Chi tiet HK1'!E12-1)*7))</x:f>
        <x:v>46335</x:v>
      </x:c>
      <x:c r="H14" s="53" t="n">
        <x:f>IF(OR($H$6="",'Chi tiet HK1'!E12="",'Chi tiet HK1'!F12="",'Chi tiet HK1'!F12&lt;'Chi tiet HK1'!E12),"",$H$6+'Chi tiet HK1'!F12*7-1)</x:f>
        <x:v>46341</x:v>
      </x:c>
      <x:c r="I14" s="55" t="n">
        <x:f t="shared" si="1">IF(OR(G14="",H14="",H14&lt;G14),"",H14-G14+1)</x:f>
        <x:v>7</x:v>
      </x:c>
      <x:c r="J14" s="15"/>
      <x:c r="K14" s="12" t="str">
        <x:f t="shared" si="2">IF(OR($G14="",$H14="",$H14&lt;$G14),"",IF(AND(K$9&lt;=$H14,K$9+6&gt;=$G14),1,""))</x:f>
      </x:c>
      <x:c r="L14" s="13" t="str">
        <x:f t="shared" si="2">IF(OR($G14="",$H14="",$H14&lt;$G14),"",IF(AND(L$9&lt;=$H14,L$9+6&gt;=$G14),1,""))</x:f>
      </x:c>
      <x:c r="M14" s="12" t="str">
        <x:f t="shared" si="2">IF(OR($G14="",$H14="",$H14&lt;$G14),"",IF(AND(M$9&lt;=$H14,M$9+6&gt;=$G14),1,""))</x:f>
      </x:c>
      <x:c r="N14" s="13" t="str">
        <x:f t="shared" si="2">IF(OR($G14="",$H14="",$H14&lt;$G14),"",IF(AND(N$9&lt;=$H14,N$9+6&gt;=$G14),1,""))</x:f>
      </x:c>
      <x:c r="O14" s="12" t="str">
        <x:f t="shared" si="2">IF(OR($G14="",$H14="",$H14&lt;$G14),"",IF(AND(O$9&lt;=$H14,O$9+6&gt;=$G14),1,""))</x:f>
      </x:c>
      <x:c r="P14" s="13" t="n">
        <x:f t="shared" si="2">IF(OR($G14="",$H14="",$H14&lt;$G14),"",IF(AND(P$9&lt;=$H14,P$9+6&gt;=$G14),1,""))</x:f>
        <x:v>1</x:v>
      </x:c>
      <x:c r="Q14" s="12" t="str">
        <x:f t="shared" si="2">IF(OR($G14="",$H14="",$H14&lt;$G14),"",IF(AND(Q$9&lt;=$H14,Q$9+6&gt;=$G14),1,""))</x:f>
      </x:c>
      <x:c r="R14" s="13" t="str">
        <x:f t="shared" si="2">IF(OR($G14="",$H14="",$H14&lt;$G14),"",IF(AND(R$9&lt;=$H14,R$9+6&gt;=$G14),1,""))</x:f>
      </x:c>
      <x:c r="S14" s="12" t="str">
        <x:f t="shared" si="2">IF(OR($G14="",$H14="",$H14&lt;$G14),"",IF(AND(S$9&lt;=$H14,S$9+6&gt;=$G14),1,""))</x:f>
      </x:c>
      <x:c r="T14" s="13" t="str">
        <x:f t="shared" si="2">IF(OR($G14="",$H14="",$H14&lt;$G14),"",IF(AND(T$9&lt;=$H14,T$9+6&gt;=$G14),1,""))</x:f>
      </x:c>
      <x:c r="U14" s="12" t="str">
        <x:f t="shared" si="3">IF(OR($G14="",$H14="",$H14&lt;$G14),"",IF(AND(U$9&lt;=$H14,U$9+6&gt;=$G14),1,""))</x:f>
      </x:c>
      <x:c r="V14" s="13" t="str">
        <x:f t="shared" si="3">IF(OR($G14="",$H14="",$H14&lt;$G14),"",IF(AND(V$9&lt;=$H14,V$9+6&gt;=$G14),1,""))</x:f>
      </x:c>
      <x:c r="W14" s="12" t="str">
        <x:f t="shared" si="3">IF(OR($G14="",$H14="",$H14&lt;$G14),"",IF(AND(W$9&lt;=$H14,W$9+6&gt;=$G14),1,""))</x:f>
      </x:c>
      <x:c r="X14" s="13" t="str">
        <x:f t="shared" si="3">IF(OR($G14="",$H14="",$H14&lt;$G14),"",IF(AND(X$9&lt;=$H14,X$9+6&gt;=$G14),1,""))</x:f>
      </x:c>
      <x:c r="Y14" s="12" t="str">
        <x:f t="shared" si="3">IF(OR($G14="",$H14="",$H14&lt;$G14),"",IF(AND(Y$9&lt;=$H14,Y$9+6&gt;=$G14),1,""))</x:f>
      </x:c>
      <x:c r="Z14" s="13" t="str">
        <x:f t="shared" si="3">IF(OR($G14="",$H14="",$H14&lt;$G14),"",IF(AND(Z$9&lt;=$H14,Z$9+6&gt;=$G14),1,""))</x:f>
      </x:c>
      <x:c r="AA14" s="12" t="str">
        <x:f t="shared" si="3">IF(OR($G14="",$H14="",$H14&lt;$G14),"",IF(AND(AA$9&lt;=$H14,AA$9+6&gt;=$G14),1,""))</x:f>
      </x:c>
      <x:c r="AB14" s="13" t="str">
        <x:f t="shared" si="3">IF(OR($G14="",$H14="",$H14&lt;$G14),"",IF(AND(AB$9&lt;=$H14,AB$9+6&gt;=$G14),1,""))</x:f>
      </x:c>
      <x:c r="AC14" s="12" t="str">
        <x:f t="shared" si="3">IF(OR($G14="",$H14="",$H14&lt;$G14),"",IF(AND(AC$9&lt;=$H14,AC$9+6&gt;=$G14),1,""))</x:f>
      </x:c>
      <x:c r="AD14" s="13" t="str">
        <x:f t="shared" si="3">IF(OR($G14="",$H14="",$H14&lt;$G14),"",IF(AND(AD$9&lt;=$H14,AD$9+6&gt;=$G14),1,""))</x:f>
      </x:c>
    </x:row>
    <x:row r="15" ht="23" customHeight="1">
      <x:c r="B15" s="6" t="str">
        <x:v>CA 1A</x:v>
      </x:c>
      <x:c r="C15" s="50" t="str">
        <x:v>C06 Pipeline, hazards và CPI</x:v>
      </x:c>
      <x:c r="D15" s="8" t="str">
        <x:v>Nguyễn Hải Minh</x:v>
      </x:c>
      <x:c r="E15" s="8" t="str">
        <x:v>Not Started</x:v>
      </x:c>
      <x:c r="F15" s="8" t="str">
        <x:v>P0</x:v>
      </x:c>
      <x:c r="G15" s="54" t="n">
        <x:f>IF(OR($H$6="",'Chi tiet HK1'!E13="",'Chi tiet HK1'!F13="",'Chi tiet HK1'!F13&lt;'Chi tiet HK1'!E13),"",IF('Chi tiet HK1'!D13="Mốc",$H$6+'Chi tiet HK1'!F13*7-1,$H$6+('Chi tiet HK1'!E13-1)*7))</x:f>
        <x:v>46342</x:v>
      </x:c>
      <x:c r="H15" s="54" t="n">
        <x:f>IF(OR($H$6="",'Chi tiet HK1'!E13="",'Chi tiet HK1'!F13="",'Chi tiet HK1'!F13&lt;'Chi tiet HK1'!E13),"",$H$6+'Chi tiet HK1'!F13*7-1)</x:f>
        <x:v>46355</x:v>
      </x:c>
      <x:c r="I15" s="55" t="n">
        <x:f t="shared" si="1">IF(OR(G15="",H15="",H15&lt;G15),"",H15-G15+1)</x:f>
        <x:v>14</x:v>
      </x:c>
      <x:c r="J15" s="15"/>
      <x:c r="K15" s="12" t="str">
        <x:f t="shared" si="2">IF(OR($G15="",$H15="",$H15&lt;$G15),"",IF(AND(K$9&lt;=$H15,K$9+6&gt;=$G15),1,""))</x:f>
      </x:c>
      <x:c r="L15" s="13" t="str">
        <x:f t="shared" si="2">IF(OR($G15="",$H15="",$H15&lt;$G15),"",IF(AND(L$9&lt;=$H15,L$9+6&gt;=$G15),1,""))</x:f>
      </x:c>
      <x:c r="M15" s="12" t="str">
        <x:f t="shared" si="2">IF(OR($G15="",$H15="",$H15&lt;$G15),"",IF(AND(M$9&lt;=$H15,M$9+6&gt;=$G15),1,""))</x:f>
      </x:c>
      <x:c r="N15" s="13" t="str">
        <x:f t="shared" si="2">IF(OR($G15="",$H15="",$H15&lt;$G15),"",IF(AND(N$9&lt;=$H15,N$9+6&gt;=$G15),1,""))</x:f>
      </x:c>
      <x:c r="O15" s="12" t="str">
        <x:f t="shared" si="2">IF(OR($G15="",$H15="",$H15&lt;$G15),"",IF(AND(O$9&lt;=$H15,O$9+6&gt;=$G15),1,""))</x:f>
      </x:c>
      <x:c r="P15" s="13" t="str">
        <x:f t="shared" si="2">IF(OR($G15="",$H15="",$H15&lt;$G15),"",IF(AND(P$9&lt;=$H15,P$9+6&gt;=$G15),1,""))</x:f>
      </x:c>
      <x:c r="Q15" s="12" t="n">
        <x:f t="shared" si="2">IF(OR($G15="",$H15="",$H15&lt;$G15),"",IF(AND(Q$9&lt;=$H15,Q$9+6&gt;=$G15),1,""))</x:f>
        <x:v>1</x:v>
      </x:c>
      <x:c r="R15" s="13" t="n">
        <x:f t="shared" si="2">IF(OR($G15="",$H15="",$H15&lt;$G15),"",IF(AND(R$9&lt;=$H15,R$9+6&gt;=$G15),1,""))</x:f>
        <x:v>1</x:v>
      </x:c>
      <x:c r="S15" s="12" t="str">
        <x:f t="shared" si="2">IF(OR($G15="",$H15="",$H15&lt;$G15),"",IF(AND(S$9&lt;=$H15,S$9+6&gt;=$G15),1,""))</x:f>
      </x:c>
      <x:c r="T15" s="13" t="str">
        <x:f t="shared" si="2">IF(OR($G15="",$H15="",$H15&lt;$G15),"",IF(AND(T$9&lt;=$H15,T$9+6&gt;=$G15),1,""))</x:f>
      </x:c>
      <x:c r="U15" s="12" t="str">
        <x:f t="shared" si="3">IF(OR($G15="",$H15="",$H15&lt;$G15),"",IF(AND(U$9&lt;=$H15,U$9+6&gt;=$G15),1,""))</x:f>
      </x:c>
      <x:c r="V15" s="13" t="str">
        <x:f t="shared" si="3">IF(OR($G15="",$H15="",$H15&lt;$G15),"",IF(AND(V$9&lt;=$H15,V$9+6&gt;=$G15),1,""))</x:f>
      </x:c>
      <x:c r="W15" s="12" t="str">
        <x:f t="shared" si="3">IF(OR($G15="",$H15="",$H15&lt;$G15),"",IF(AND(W$9&lt;=$H15,W$9+6&gt;=$G15),1,""))</x:f>
      </x:c>
      <x:c r="X15" s="13" t="str">
        <x:f t="shared" si="3">IF(OR($G15="",$H15="",$H15&lt;$G15),"",IF(AND(X$9&lt;=$H15,X$9+6&gt;=$G15),1,""))</x:f>
      </x:c>
      <x:c r="Y15" s="12" t="str">
        <x:f t="shared" si="3">IF(OR($G15="",$H15="",$H15&lt;$G15),"",IF(AND(Y$9&lt;=$H15,Y$9+6&gt;=$G15),1,""))</x:f>
      </x:c>
      <x:c r="Z15" s="13" t="str">
        <x:f t="shared" si="3">IF(OR($G15="",$H15="",$H15&lt;$G15),"",IF(AND(Z$9&lt;=$H15,Z$9+6&gt;=$G15),1,""))</x:f>
      </x:c>
      <x:c r="AA15" s="12" t="str">
        <x:f t="shared" si="3">IF(OR($G15="",$H15="",$H15&lt;$G15),"",IF(AND(AA$9&lt;=$H15,AA$9+6&gt;=$G15),1,""))</x:f>
      </x:c>
      <x:c r="AB15" s="13" t="str">
        <x:f t="shared" si="3">IF(OR($G15="",$H15="",$H15&lt;$G15),"",IF(AND(AB$9&lt;=$H15,AB$9+6&gt;=$G15),1,""))</x:f>
      </x:c>
      <x:c r="AC15" s="12" t="str">
        <x:f t="shared" si="3">IF(OR($G15="",$H15="",$H15&lt;$G15),"",IF(AND(AC$9&lt;=$H15,AC$9+6&gt;=$G15),1,""))</x:f>
      </x:c>
      <x:c r="AD15" s="13" t="str">
        <x:f t="shared" si="3">IF(OR($G15="",$H15="",$H15&lt;$G15),"",IF(AND(AD$9&lt;=$H15,AD$9+6&gt;=$G15),1,""))</x:f>
      </x:c>
    </x:row>
    <x:row r="16" ht="23" customHeight="1">
      <x:c r="B16" s="5" t="str">
        <x:v>CA 1B</x:v>
      </x:c>
      <x:c r="C16" s="49" t="str">
        <x:v>C07 Memory, bus và SoC</x:v>
      </x:c>
      <x:c r="D16" s="7" t="str">
        <x:v>Nguyễn Hải Minh</x:v>
      </x:c>
      <x:c r="E16" s="7" t="str">
        <x:v>Not Started</x:v>
      </x:c>
      <x:c r="F16" s="7" t="str">
        <x:v>P0</x:v>
      </x:c>
      <x:c r="G16" s="53" t="n">
        <x:f>IF(OR($H$6="",'Chi tiet HK1'!E14="",'Chi tiet HK1'!F14="",'Chi tiet HK1'!F14&lt;'Chi tiet HK1'!E14),"",IF('Chi tiet HK1'!D14="Mốc",$H$6+'Chi tiet HK1'!F14*7-1,$H$6+('Chi tiet HK1'!E14-1)*7))</x:f>
        <x:v>46356</x:v>
      </x:c>
      <x:c r="H16" s="53" t="n">
        <x:f>IF(OR($H$6="",'Chi tiet HK1'!E14="",'Chi tiet HK1'!F14="",'Chi tiet HK1'!F14&lt;'Chi tiet HK1'!E14),"",$H$6+'Chi tiet HK1'!F14*7-1)</x:f>
        <x:v>46369</x:v>
      </x:c>
      <x:c r="I16" s="55" t="n">
        <x:f t="shared" si="1">IF(OR(G16="",H16="",H16&lt;G16),"",H16-G16+1)</x:f>
        <x:v>14</x:v>
      </x:c>
      <x:c r="J16" s="15"/>
      <x:c r="K16" s="12" t="str">
        <x:f t="shared" si="2">IF(OR($G16="",$H16="",$H16&lt;$G16),"",IF(AND(K$9&lt;=$H16,K$9+6&gt;=$G16),1,""))</x:f>
      </x:c>
      <x:c r="L16" s="13" t="str">
        <x:f t="shared" si="2">IF(OR($G16="",$H16="",$H16&lt;$G16),"",IF(AND(L$9&lt;=$H16,L$9+6&gt;=$G16),1,""))</x:f>
      </x:c>
      <x:c r="M16" s="12" t="str">
        <x:f t="shared" si="2">IF(OR($G16="",$H16="",$H16&lt;$G16),"",IF(AND(M$9&lt;=$H16,M$9+6&gt;=$G16),1,""))</x:f>
      </x:c>
      <x:c r="N16" s="13" t="str">
        <x:f t="shared" si="2">IF(OR($G16="",$H16="",$H16&lt;$G16),"",IF(AND(N$9&lt;=$H16,N$9+6&gt;=$G16),1,""))</x:f>
      </x:c>
      <x:c r="O16" s="12" t="str">
        <x:f t="shared" si="2">IF(OR($G16="",$H16="",$H16&lt;$G16),"",IF(AND(O$9&lt;=$H16,O$9+6&gt;=$G16),1,""))</x:f>
      </x:c>
      <x:c r="P16" s="13" t="str">
        <x:f t="shared" si="2">IF(OR($G16="",$H16="",$H16&lt;$G16),"",IF(AND(P$9&lt;=$H16,P$9+6&gt;=$G16),1,""))</x:f>
      </x:c>
      <x:c r="Q16" s="12" t="str">
        <x:f t="shared" si="2">IF(OR($G16="",$H16="",$H16&lt;$G16),"",IF(AND(Q$9&lt;=$H16,Q$9+6&gt;=$G16),1,""))</x:f>
      </x:c>
      <x:c r="R16" s="13" t="str">
        <x:f t="shared" si="2">IF(OR($G16="",$H16="",$H16&lt;$G16),"",IF(AND(R$9&lt;=$H16,R$9+6&gt;=$G16),1,""))</x:f>
      </x:c>
      <x:c r="S16" s="12" t="n">
        <x:f t="shared" si="2">IF(OR($G16="",$H16="",$H16&lt;$G16),"",IF(AND(S$9&lt;=$H16,S$9+6&gt;=$G16),1,""))</x:f>
        <x:v>1</x:v>
      </x:c>
      <x:c r="T16" s="13" t="n">
        <x:f t="shared" si="2">IF(OR($G16="",$H16="",$H16&lt;$G16),"",IF(AND(T$9&lt;=$H16,T$9+6&gt;=$G16),1,""))</x:f>
        <x:v>1</x:v>
      </x:c>
      <x:c r="U16" s="12" t="str">
        <x:f t="shared" si="3">IF(OR($G16="",$H16="",$H16&lt;$G16),"",IF(AND(U$9&lt;=$H16,U$9+6&gt;=$G16),1,""))</x:f>
      </x:c>
      <x:c r="V16" s="13" t="str">
        <x:f t="shared" si="3">IF(OR($G16="",$H16="",$H16&lt;$G16),"",IF(AND(V$9&lt;=$H16,V$9+6&gt;=$G16),1,""))</x:f>
      </x:c>
      <x:c r="W16" s="12" t="str">
        <x:f t="shared" si="3">IF(OR($G16="",$H16="",$H16&lt;$G16),"",IF(AND(W$9&lt;=$H16,W$9+6&gt;=$G16),1,""))</x:f>
      </x:c>
      <x:c r="X16" s="13" t="str">
        <x:f t="shared" si="3">IF(OR($G16="",$H16="",$H16&lt;$G16),"",IF(AND(X$9&lt;=$H16,X$9+6&gt;=$G16),1,""))</x:f>
      </x:c>
      <x:c r="Y16" s="12" t="str">
        <x:f t="shared" si="3">IF(OR($G16="",$H16="",$H16&lt;$G16),"",IF(AND(Y$9&lt;=$H16,Y$9+6&gt;=$G16),1,""))</x:f>
      </x:c>
      <x:c r="Z16" s="13" t="str">
        <x:f t="shared" si="3">IF(OR($G16="",$H16="",$H16&lt;$G16),"",IF(AND(Z$9&lt;=$H16,Z$9+6&gt;=$G16),1,""))</x:f>
      </x:c>
      <x:c r="AA16" s="12" t="str">
        <x:f t="shared" si="3">IF(OR($G16="",$H16="",$H16&lt;$G16),"",IF(AND(AA$9&lt;=$H16,AA$9+6&gt;=$G16),1,""))</x:f>
      </x:c>
      <x:c r="AB16" s="13" t="str">
        <x:f t="shared" si="3">IF(OR($G16="",$H16="",$H16&lt;$G16),"",IF(AND(AB$9&lt;=$H16,AB$9+6&gt;=$G16),1,""))</x:f>
      </x:c>
      <x:c r="AC16" s="12" t="str">
        <x:f t="shared" si="3">IF(OR($G16="",$H16="",$H16&lt;$G16),"",IF(AND(AC$9&lt;=$H16,AC$9+6&gt;=$G16),1,""))</x:f>
      </x:c>
      <x:c r="AD16" s="13" t="str">
        <x:f t="shared" si="3">IF(OR($G16="",$H16="",$H16&lt;$G16),"",IF(AND(AD$9&lt;=$H16,AD$9+6&gt;=$G16),1,""))</x:f>
      </x:c>
    </x:row>
    <x:row r="17" ht="23" customHeight="1">
      <x:c r="B17" s="6" t="str">
        <x:v>CA 1B</x:v>
      </x:c>
      <x:c r="C17" s="50" t="str">
        <x:v>C08 Fixed-point và độ rộng số</x:v>
      </x:c>
      <x:c r="D17" s="8" t="str">
        <x:v>Nguyễn Hải Minh</x:v>
      </x:c>
      <x:c r="E17" s="8" t="str">
        <x:v>Not Started</x:v>
      </x:c>
      <x:c r="F17" s="8" t="str">
        <x:v>P0</x:v>
      </x:c>
      <x:c r="G17" s="54" t="n">
        <x:f>IF(OR($H$6="",'Chi tiet HK1'!E15="",'Chi tiet HK1'!F15="",'Chi tiet HK1'!F15&lt;'Chi tiet HK1'!E15),"",IF('Chi tiet HK1'!D15="Mốc",$H$6+'Chi tiet HK1'!F15*7-1,$H$6+('Chi tiet HK1'!E15-1)*7))</x:f>
        <x:v>46370</x:v>
      </x:c>
      <x:c r="H17" s="54" t="n">
        <x:f>IF(OR($H$6="",'Chi tiet HK1'!E15="",'Chi tiet HK1'!F15="",'Chi tiet HK1'!F15&lt;'Chi tiet HK1'!E15),"",$H$6+'Chi tiet HK1'!F15*7-1)</x:f>
        <x:v>46383</x:v>
      </x:c>
      <x:c r="I17" s="55" t="n">
        <x:f t="shared" si="1">IF(OR(G17="",H17="",H17&lt;G17),"",H17-G17+1)</x:f>
        <x:v>14</x:v>
      </x:c>
      <x:c r="J17" s="15"/>
      <x:c r="K17" s="12" t="str">
        <x:f t="shared" si="2">IF(OR($G17="",$H17="",$H17&lt;$G17),"",IF(AND(K$9&lt;=$H17,K$9+6&gt;=$G17),1,""))</x:f>
      </x:c>
      <x:c r="L17" s="13" t="str">
        <x:f t="shared" si="2">IF(OR($G17="",$H17="",$H17&lt;$G17),"",IF(AND(L$9&lt;=$H17,L$9+6&gt;=$G17),1,""))</x:f>
      </x:c>
      <x:c r="M17" s="12" t="str">
        <x:f t="shared" si="2">IF(OR($G17="",$H17="",$H17&lt;$G17),"",IF(AND(M$9&lt;=$H17,M$9+6&gt;=$G17),1,""))</x:f>
      </x:c>
      <x:c r="N17" s="13" t="str">
        <x:f t="shared" si="2">IF(OR($G17="",$H17="",$H17&lt;$G17),"",IF(AND(N$9&lt;=$H17,N$9+6&gt;=$G17),1,""))</x:f>
      </x:c>
      <x:c r="O17" s="12" t="str">
        <x:f t="shared" si="2">IF(OR($G17="",$H17="",$H17&lt;$G17),"",IF(AND(O$9&lt;=$H17,O$9+6&gt;=$G17),1,""))</x:f>
      </x:c>
      <x:c r="P17" s="13" t="str">
        <x:f t="shared" si="2">IF(OR($G17="",$H17="",$H17&lt;$G17),"",IF(AND(P$9&lt;=$H17,P$9+6&gt;=$G17),1,""))</x:f>
      </x:c>
      <x:c r="Q17" s="12" t="str">
        <x:f t="shared" si="2">IF(OR($G17="",$H17="",$H17&lt;$G17),"",IF(AND(Q$9&lt;=$H17,Q$9+6&gt;=$G17),1,""))</x:f>
      </x:c>
      <x:c r="R17" s="13" t="str">
        <x:f t="shared" si="2">IF(OR($G17="",$H17="",$H17&lt;$G17),"",IF(AND(R$9&lt;=$H17,R$9+6&gt;=$G17),1,""))</x:f>
      </x:c>
      <x:c r="S17" s="12" t="str">
        <x:f t="shared" si="2">IF(OR($G17="",$H17="",$H17&lt;$G17),"",IF(AND(S$9&lt;=$H17,S$9+6&gt;=$G17),1,""))</x:f>
      </x:c>
      <x:c r="T17" s="13" t="str">
        <x:f t="shared" si="2">IF(OR($G17="",$H17="",$H17&lt;$G17),"",IF(AND(T$9&lt;=$H17,T$9+6&gt;=$G17),1,""))</x:f>
      </x:c>
      <x:c r="U17" s="12" t="n">
        <x:f t="shared" si="3">IF(OR($G17="",$H17="",$H17&lt;$G17),"",IF(AND(U$9&lt;=$H17,U$9+6&gt;=$G17),1,""))</x:f>
        <x:v>1</x:v>
      </x:c>
      <x:c r="V17" s="13" t="n">
        <x:f t="shared" si="3">IF(OR($G17="",$H17="",$H17&lt;$G17),"",IF(AND(V$9&lt;=$H17,V$9+6&gt;=$G17),1,""))</x:f>
        <x:v>1</x:v>
      </x:c>
      <x:c r="W17" s="12" t="str">
        <x:f t="shared" si="3">IF(OR($G17="",$H17="",$H17&lt;$G17),"",IF(AND(W$9&lt;=$H17,W$9+6&gt;=$G17),1,""))</x:f>
      </x:c>
      <x:c r="X17" s="13" t="str">
        <x:f t="shared" si="3">IF(OR($G17="",$H17="",$H17&lt;$G17),"",IF(AND(X$9&lt;=$H17,X$9+6&gt;=$G17),1,""))</x:f>
      </x:c>
      <x:c r="Y17" s="12" t="str">
        <x:f t="shared" si="3">IF(OR($G17="",$H17="",$H17&lt;$G17),"",IF(AND(Y$9&lt;=$H17,Y$9+6&gt;=$G17),1,""))</x:f>
      </x:c>
      <x:c r="Z17" s="13" t="str">
        <x:f t="shared" si="3">IF(OR($G17="",$H17="",$H17&lt;$G17),"",IF(AND(Z$9&lt;=$H17,Z$9+6&gt;=$G17),1,""))</x:f>
      </x:c>
      <x:c r="AA17" s="12" t="str">
        <x:f t="shared" si="3">IF(OR($G17="",$H17="",$H17&lt;$G17),"",IF(AND(AA$9&lt;=$H17,AA$9+6&gt;=$G17),1,""))</x:f>
      </x:c>
      <x:c r="AB17" s="13" t="str">
        <x:f t="shared" si="3">IF(OR($G17="",$H17="",$H17&lt;$G17),"",IF(AND(AB$9&lt;=$H17,AB$9+6&gt;=$G17),1,""))</x:f>
      </x:c>
      <x:c r="AC17" s="12" t="str">
        <x:f t="shared" si="3">IF(OR($G17="",$H17="",$H17&lt;$G17),"",IF(AND(AC$9&lt;=$H17,AC$9+6&gt;=$G17),1,""))</x:f>
      </x:c>
      <x:c r="AD17" s="13" t="str">
        <x:f t="shared" si="3">IF(OR($G17="",$H17="",$H17&lt;$G17),"",IF(AND(AD$9&lt;=$H17,AD$9+6&gt;=$G17),1,""))</x:f>
      </x:c>
    </x:row>
    <x:row r="18" ht="23" customHeight="1">
      <x:c r="B18" s="5" t="str">
        <x:v>CA 1B</x:v>
      </x:c>
      <x:c r="C18" s="49" t="str">
        <x:v>C09 Đo hiệu năng và timing</x:v>
      </x:c>
      <x:c r="D18" s="7" t="str">
        <x:v>Nguyễn Hải Minh</x:v>
      </x:c>
      <x:c r="E18" s="7" t="str">
        <x:v>Not Started</x:v>
      </x:c>
      <x:c r="F18" s="7" t="str">
        <x:v>P0</x:v>
      </x:c>
      <x:c r="G18" s="53" t="n">
        <x:f>IF(OR($H$6="",'Chi tiet HK1'!E16="",'Chi tiet HK1'!F16="",'Chi tiet HK1'!F16&lt;'Chi tiet HK1'!E16),"",IF('Chi tiet HK1'!D16="Mốc",$H$6+'Chi tiet HK1'!F16*7-1,$H$6+('Chi tiet HK1'!E16-1)*7))</x:f>
        <x:v>46384</x:v>
      </x:c>
      <x:c r="H18" s="53" t="n">
        <x:f>IF(OR($H$6="",'Chi tiet HK1'!E16="",'Chi tiet HK1'!F16="",'Chi tiet HK1'!F16&lt;'Chi tiet HK1'!E16),"",$H$6+'Chi tiet HK1'!F16*7-1)</x:f>
        <x:v>46397</x:v>
      </x:c>
      <x:c r="I18" s="55" t="n">
        <x:f t="shared" si="1">IF(OR(G18="",H18="",H18&lt;G18),"",H18-G18+1)</x:f>
        <x:v>14</x:v>
      </x:c>
      <x:c r="J18" s="15"/>
      <x:c r="K18" s="12" t="str">
        <x:f t="shared" si="2">IF(OR($G18="",$H18="",$H18&lt;$G18),"",IF(AND(K$9&lt;=$H18,K$9+6&gt;=$G18),1,""))</x:f>
      </x:c>
      <x:c r="L18" s="13" t="str">
        <x:f t="shared" si="2">IF(OR($G18="",$H18="",$H18&lt;$G18),"",IF(AND(L$9&lt;=$H18,L$9+6&gt;=$G18),1,""))</x:f>
      </x:c>
      <x:c r="M18" s="12" t="str">
        <x:f t="shared" si="2">IF(OR($G18="",$H18="",$H18&lt;$G18),"",IF(AND(M$9&lt;=$H18,M$9+6&gt;=$G18),1,""))</x:f>
      </x:c>
      <x:c r="N18" s="13" t="str">
        <x:f t="shared" si="2">IF(OR($G18="",$H18="",$H18&lt;$G18),"",IF(AND(N$9&lt;=$H18,N$9+6&gt;=$G18),1,""))</x:f>
      </x:c>
      <x:c r="O18" s="12" t="str">
        <x:f t="shared" si="2">IF(OR($G18="",$H18="",$H18&lt;$G18),"",IF(AND(O$9&lt;=$H18,O$9+6&gt;=$G18),1,""))</x:f>
      </x:c>
      <x:c r="P18" s="13" t="str">
        <x:f t="shared" si="2">IF(OR($G18="",$H18="",$H18&lt;$G18),"",IF(AND(P$9&lt;=$H18,P$9+6&gt;=$G18),1,""))</x:f>
      </x:c>
      <x:c r="Q18" s="12" t="str">
        <x:f t="shared" si="2">IF(OR($G18="",$H18="",$H18&lt;$G18),"",IF(AND(Q$9&lt;=$H18,Q$9+6&gt;=$G18),1,""))</x:f>
      </x:c>
      <x:c r="R18" s="13" t="str">
        <x:f t="shared" si="2">IF(OR($G18="",$H18="",$H18&lt;$G18),"",IF(AND(R$9&lt;=$H18,R$9+6&gt;=$G18),1,""))</x:f>
      </x:c>
      <x:c r="S18" s="12" t="str">
        <x:f t="shared" si="2">IF(OR($G18="",$H18="",$H18&lt;$G18),"",IF(AND(S$9&lt;=$H18,S$9+6&gt;=$G18),1,""))</x:f>
      </x:c>
      <x:c r="T18" s="13" t="str">
        <x:f t="shared" si="2">IF(OR($G18="",$H18="",$H18&lt;$G18),"",IF(AND(T$9&lt;=$H18,T$9+6&gt;=$G18),1,""))</x:f>
      </x:c>
      <x:c r="U18" s="12" t="str">
        <x:f t="shared" si="3">IF(OR($G18="",$H18="",$H18&lt;$G18),"",IF(AND(U$9&lt;=$H18,U$9+6&gt;=$G18),1,""))</x:f>
      </x:c>
      <x:c r="V18" s="13" t="str">
        <x:f t="shared" si="3">IF(OR($G18="",$H18="",$H18&lt;$G18),"",IF(AND(V$9&lt;=$H18,V$9+6&gt;=$G18),1,""))</x:f>
      </x:c>
      <x:c r="W18" s="12" t="n">
        <x:f t="shared" si="3">IF(OR($G18="",$H18="",$H18&lt;$G18),"",IF(AND(W$9&lt;=$H18,W$9+6&gt;=$G18),1,""))</x:f>
        <x:v>1</x:v>
      </x:c>
      <x:c r="X18" s="13" t="n">
        <x:f t="shared" si="3">IF(OR($G18="",$H18="",$H18&lt;$G18),"",IF(AND(X$9&lt;=$H18,X$9+6&gt;=$G18),1,""))</x:f>
        <x:v>1</x:v>
      </x:c>
      <x:c r="Y18" s="12" t="str">
        <x:f t="shared" si="3">IF(OR($G18="",$H18="",$H18&lt;$G18),"",IF(AND(Y$9&lt;=$H18,Y$9+6&gt;=$G18),1,""))</x:f>
      </x:c>
      <x:c r="Z18" s="13" t="str">
        <x:f t="shared" si="3">IF(OR($G18="",$H18="",$H18&lt;$G18),"",IF(AND(Z$9&lt;=$H18,Z$9+6&gt;=$G18),1,""))</x:f>
      </x:c>
      <x:c r="AA18" s="12" t="str">
        <x:f t="shared" si="3">IF(OR($G18="",$H18="",$H18&lt;$G18),"",IF(AND(AA$9&lt;=$H18,AA$9+6&gt;=$G18),1,""))</x:f>
      </x:c>
      <x:c r="AB18" s="13" t="str">
        <x:f t="shared" si="3">IF(OR($G18="",$H18="",$H18&lt;$G18),"",IF(AND(AB$9&lt;=$H18,AB$9+6&gt;=$G18),1,""))</x:f>
      </x:c>
      <x:c r="AC18" s="12" t="str">
        <x:f t="shared" si="3">IF(OR($G18="",$H18="",$H18&lt;$G18),"",IF(AND(AC$9&lt;=$H18,AC$9+6&gt;=$G18),1,""))</x:f>
      </x:c>
      <x:c r="AD18" s="13" t="str">
        <x:f t="shared" si="3">IF(OR($G18="",$H18="",$H18&lt;$G18),"",IF(AND(AD$9&lt;=$H18,AD$9+6&gt;=$G18),1,""))</x:f>
      </x:c>
    </x:row>
    <x:row r="19" ht="23" customHeight="1">
      <x:c r="B19" s="6" t="str">
        <x:v>CA 1B</x:v>
      </x:c>
      <x:c r="C19" s="50" t="str">
        <x:v>C10 Custom ISA và tổng ôn</x:v>
      </x:c>
      <x:c r="D19" s="8" t="str">
        <x:v>Nguyễn Hải Minh</x:v>
      </x:c>
      <x:c r="E19" s="8" t="str">
        <x:v>Not Started</x:v>
      </x:c>
      <x:c r="F19" s="8" t="str">
        <x:v>P1</x:v>
      </x:c>
      <x:c r="G19" s="54" t="n">
        <x:f>IF(OR($H$6="",'Chi tiet HK1'!E17="",'Chi tiet HK1'!F17="",'Chi tiet HK1'!F17&lt;'Chi tiet HK1'!E17),"",IF('Chi tiet HK1'!D17="Mốc",$H$6+'Chi tiet HK1'!F17*7-1,$H$6+('Chi tiet HK1'!E17-1)*7))</x:f>
        <x:v>46398</x:v>
      </x:c>
      <x:c r="H19" s="54" t="n">
        <x:f>IF(OR($H$6="",'Chi tiet HK1'!E17="",'Chi tiet HK1'!F17="",'Chi tiet HK1'!F17&lt;'Chi tiet HK1'!E17),"",$H$6+'Chi tiet HK1'!F17*7-1)</x:f>
        <x:v>46411</x:v>
      </x:c>
      <x:c r="I19" s="55" t="n">
        <x:f t="shared" si="1">IF(OR(G19="",H19="",H19&lt;G19),"",H19-G19+1)</x:f>
        <x:v>14</x:v>
      </x:c>
      <x:c r="J19" s="15"/>
      <x:c r="K19" s="12" t="str">
        <x:f t="shared" si="2">IF(OR($G19="",$H19="",$H19&lt;$G19),"",IF(AND(K$9&lt;=$H19,K$9+6&gt;=$G19),1,""))</x:f>
      </x:c>
      <x:c r="L19" s="13" t="str">
        <x:f t="shared" si="2">IF(OR($G19="",$H19="",$H19&lt;$G19),"",IF(AND(L$9&lt;=$H19,L$9+6&gt;=$G19),1,""))</x:f>
      </x:c>
      <x:c r="M19" s="12" t="str">
        <x:f t="shared" si="2">IF(OR($G19="",$H19="",$H19&lt;$G19),"",IF(AND(M$9&lt;=$H19,M$9+6&gt;=$G19),1,""))</x:f>
      </x:c>
      <x:c r="N19" s="13" t="str">
        <x:f t="shared" si="2">IF(OR($G19="",$H19="",$H19&lt;$G19),"",IF(AND(N$9&lt;=$H19,N$9+6&gt;=$G19),1,""))</x:f>
      </x:c>
      <x:c r="O19" s="12" t="str">
        <x:f t="shared" si="2">IF(OR($G19="",$H19="",$H19&lt;$G19),"",IF(AND(O$9&lt;=$H19,O$9+6&gt;=$G19),1,""))</x:f>
      </x:c>
      <x:c r="P19" s="13" t="str">
        <x:f t="shared" si="2">IF(OR($G19="",$H19="",$H19&lt;$G19),"",IF(AND(P$9&lt;=$H19,P$9+6&gt;=$G19),1,""))</x:f>
      </x:c>
      <x:c r="Q19" s="12" t="str">
        <x:f t="shared" si="2">IF(OR($G19="",$H19="",$H19&lt;$G19),"",IF(AND(Q$9&lt;=$H19,Q$9+6&gt;=$G19),1,""))</x:f>
      </x:c>
      <x:c r="R19" s="13" t="str">
        <x:f t="shared" si="2">IF(OR($G19="",$H19="",$H19&lt;$G19),"",IF(AND(R$9&lt;=$H19,R$9+6&gt;=$G19),1,""))</x:f>
      </x:c>
      <x:c r="S19" s="12" t="str">
        <x:f t="shared" si="2">IF(OR($G19="",$H19="",$H19&lt;$G19),"",IF(AND(S$9&lt;=$H19,S$9+6&gt;=$G19),1,""))</x:f>
      </x:c>
      <x:c r="T19" s="13" t="str">
        <x:f t="shared" si="2">IF(OR($G19="",$H19="",$H19&lt;$G19),"",IF(AND(T$9&lt;=$H19,T$9+6&gt;=$G19),1,""))</x:f>
      </x:c>
      <x:c r="U19" s="12" t="str">
        <x:f t="shared" si="3">IF(OR($G19="",$H19="",$H19&lt;$G19),"",IF(AND(U$9&lt;=$H19,U$9+6&gt;=$G19),1,""))</x:f>
      </x:c>
      <x:c r="V19" s="13" t="str">
        <x:f t="shared" si="3">IF(OR($G19="",$H19="",$H19&lt;$G19),"",IF(AND(V$9&lt;=$H19,V$9+6&gt;=$G19),1,""))</x:f>
      </x:c>
      <x:c r="W19" s="12" t="str">
        <x:f t="shared" si="3">IF(OR($G19="",$H19="",$H19&lt;$G19),"",IF(AND(W$9&lt;=$H19,W$9+6&gt;=$G19),1,""))</x:f>
      </x:c>
      <x:c r="X19" s="13" t="str">
        <x:f t="shared" si="3">IF(OR($G19="",$H19="",$H19&lt;$G19),"",IF(AND(X$9&lt;=$H19,X$9+6&gt;=$G19),1,""))</x:f>
      </x:c>
      <x:c r="Y19" s="12" t="n">
        <x:f t="shared" si="3">IF(OR($G19="",$H19="",$H19&lt;$G19),"",IF(AND(Y$9&lt;=$H19,Y$9+6&gt;=$G19),1,""))</x:f>
        <x:v>1</x:v>
      </x:c>
      <x:c r="Z19" s="13" t="n">
        <x:f t="shared" si="3">IF(OR($G19="",$H19="",$H19&lt;$G19),"",IF(AND(Z$9&lt;=$H19,Z$9+6&gt;=$G19),1,""))</x:f>
        <x:v>1</x:v>
      </x:c>
      <x:c r="AA19" s="12" t="str">
        <x:f t="shared" si="3">IF(OR($G19="",$H19="",$H19&lt;$G19),"",IF(AND(AA$9&lt;=$H19,AA$9+6&gt;=$G19),1,""))</x:f>
      </x:c>
      <x:c r="AB19" s="13" t="str">
        <x:f t="shared" si="3">IF(OR($G19="",$H19="",$H19&lt;$G19),"",IF(AND(AB$9&lt;=$H19,AB$9+6&gt;=$G19),1,""))</x:f>
      </x:c>
      <x:c r="AC19" s="12" t="str">
        <x:f t="shared" si="3">IF(OR($G19="",$H19="",$H19&lt;$G19),"",IF(AND(AC$9&lt;=$H19,AC$9+6&gt;=$G19),1,""))</x:f>
      </x:c>
      <x:c r="AD19" s="13" t="str">
        <x:f t="shared" si="3">IF(OR($G19="",$H19="",$H19&lt;$G19),"",IF(AND(AD$9&lt;=$H19,AD$9+6&gt;=$G19),1,""))</x:f>
      </x:c>
    </x:row>
    <x:row r="20" ht="23" customHeight="1">
      <x:c r="B20" s="5" t="str">
        <x:v>Đồ án 1A</x:v>
      </x:c>
      <x:c r="C20" s="49" t="str">
        <x:v>P01 Phạm vi và tự đánh giá</x:v>
      </x:c>
      <x:c r="D20" s="7" t="str">
        <x:v>Nguyễn Hải Minh</x:v>
      </x:c>
      <x:c r="E20" s="7" t="str">
        <x:v>Not Started</x:v>
      </x:c>
      <x:c r="F20" s="7" t="str">
        <x:v>P0</x:v>
      </x:c>
      <x:c r="G20" s="53" t="n">
        <x:f>IF(OR($H$6="",'Chi tiet HK1'!E18="",'Chi tiet HK1'!F18="",'Chi tiet HK1'!F18&lt;'Chi tiet HK1'!E18),"",IF('Chi tiet HK1'!D18="Mốc",$H$6+'Chi tiet HK1'!F18*7-1,$H$6+('Chi tiet HK1'!E18-1)*7))</x:f>
        <x:v>46300</x:v>
      </x:c>
      <x:c r="H20" s="53" t="n">
        <x:f>IF(OR($H$6="",'Chi tiet HK1'!E18="",'Chi tiet HK1'!F18="",'Chi tiet HK1'!F18&lt;'Chi tiet HK1'!E18),"",$H$6+'Chi tiet HK1'!F18*7-1)</x:f>
        <x:v>46306</x:v>
      </x:c>
      <x:c r="I20" s="55" t="n">
        <x:f t="shared" si="1">IF(OR(G20="",H20="",H20&lt;G20),"",H20-G20+1)</x:f>
        <x:v>7</x:v>
      </x:c>
      <x:c r="J20" s="15"/>
      <x:c r="K20" s="12" t="n">
        <x:f t="shared" ref="K20:T29" si="4">IF(OR($G20="",$H20="",$H20&lt;$G20),"",IF(AND(K$9&lt;=$H20,K$9+6&gt;=$G20),1,""))</x:f>
        <x:v>1</x:v>
      </x:c>
      <x:c r="L20" s="13" t="str">
        <x:f t="shared" si="4">IF(OR($G20="",$H20="",$H20&lt;$G20),"",IF(AND(L$9&lt;=$H20,L$9+6&gt;=$G20),1,""))</x:f>
      </x:c>
      <x:c r="M20" s="12" t="str">
        <x:f t="shared" si="4">IF(OR($G20="",$H20="",$H20&lt;$G20),"",IF(AND(M$9&lt;=$H20,M$9+6&gt;=$G20),1,""))</x:f>
      </x:c>
      <x:c r="N20" s="13" t="str">
        <x:f t="shared" si="4">IF(OR($G20="",$H20="",$H20&lt;$G20),"",IF(AND(N$9&lt;=$H20,N$9+6&gt;=$G20),1,""))</x:f>
      </x:c>
      <x:c r="O20" s="12" t="str">
        <x:f t="shared" si="4">IF(OR($G20="",$H20="",$H20&lt;$G20),"",IF(AND(O$9&lt;=$H20,O$9+6&gt;=$G20),1,""))</x:f>
      </x:c>
      <x:c r="P20" s="13" t="str">
        <x:f t="shared" si="4">IF(OR($G20="",$H20="",$H20&lt;$G20),"",IF(AND(P$9&lt;=$H20,P$9+6&gt;=$G20),1,""))</x:f>
      </x:c>
      <x:c r="Q20" s="12" t="str">
        <x:f t="shared" si="4">IF(OR($G20="",$H20="",$H20&lt;$G20),"",IF(AND(Q$9&lt;=$H20,Q$9+6&gt;=$G20),1,""))</x:f>
      </x:c>
      <x:c r="R20" s="13" t="str">
        <x:f t="shared" si="4">IF(OR($G20="",$H20="",$H20&lt;$G20),"",IF(AND(R$9&lt;=$H20,R$9+6&gt;=$G20),1,""))</x:f>
      </x:c>
      <x:c r="S20" s="12" t="str">
        <x:f t="shared" si="4">IF(OR($G20="",$H20="",$H20&lt;$G20),"",IF(AND(S$9&lt;=$H20,S$9+6&gt;=$G20),1,""))</x:f>
      </x:c>
      <x:c r="T20" s="13" t="str">
        <x:f t="shared" si="4">IF(OR($G20="",$H20="",$H20&lt;$G20),"",IF(AND(T$9&lt;=$H20,T$9+6&gt;=$G20),1,""))</x:f>
      </x:c>
      <x:c r="U20" s="12" t="str">
        <x:f t="shared" ref="U20:AD29" si="5">IF(OR($G20="",$H20="",$H20&lt;$G20),"",IF(AND(U$9&lt;=$H20,U$9+6&gt;=$G20),1,""))</x:f>
      </x:c>
      <x:c r="V20" s="13" t="str">
        <x:f t="shared" si="5">IF(OR($G20="",$H20="",$H20&lt;$G20),"",IF(AND(V$9&lt;=$H20,V$9+6&gt;=$G20),1,""))</x:f>
      </x:c>
      <x:c r="W20" s="12" t="str">
        <x:f t="shared" si="5">IF(OR($G20="",$H20="",$H20&lt;$G20),"",IF(AND(W$9&lt;=$H20,W$9+6&gt;=$G20),1,""))</x:f>
      </x:c>
      <x:c r="X20" s="13" t="str">
        <x:f t="shared" si="5">IF(OR($G20="",$H20="",$H20&lt;$G20),"",IF(AND(X$9&lt;=$H20,X$9+6&gt;=$G20),1,""))</x:f>
      </x:c>
      <x:c r="Y20" s="12" t="str">
        <x:f t="shared" si="5">IF(OR($G20="",$H20="",$H20&lt;$G20),"",IF(AND(Y$9&lt;=$H20,Y$9+6&gt;=$G20),1,""))</x:f>
      </x:c>
      <x:c r="Z20" s="13" t="str">
        <x:f t="shared" si="5">IF(OR($G20="",$H20="",$H20&lt;$G20),"",IF(AND(Z$9&lt;=$H20,Z$9+6&gt;=$G20),1,""))</x:f>
      </x:c>
      <x:c r="AA20" s="12" t="str">
        <x:f t="shared" si="5">IF(OR($G20="",$H20="",$H20&lt;$G20),"",IF(AND(AA$9&lt;=$H20,AA$9+6&gt;=$G20),1,""))</x:f>
      </x:c>
      <x:c r="AB20" s="13" t="str">
        <x:f t="shared" si="5">IF(OR($G20="",$H20="",$H20&lt;$G20),"",IF(AND(AB$9&lt;=$H20,AB$9+6&gt;=$G20),1,""))</x:f>
      </x:c>
      <x:c r="AC20" s="12" t="str">
        <x:f t="shared" si="5">IF(OR($G20="",$H20="",$H20&lt;$G20),"",IF(AND(AC$9&lt;=$H20,AC$9+6&gt;=$G20),1,""))</x:f>
      </x:c>
      <x:c r="AD20" s="13" t="str">
        <x:f t="shared" si="5">IF(OR($G20="",$H20="",$H20&lt;$G20),"",IF(AND(AD$9&lt;=$H20,AD$9+6&gt;=$G20),1,""))</x:f>
      </x:c>
    </x:row>
    <x:row r="21" ht="23" customHeight="1">
      <x:c r="B21" s="6" t="str">
        <x:v>Đồ án 1A</x:v>
      </x:c>
      <x:c r="C21" s="50" t="str">
        <x:v>P02 Môi trường và nhật ký</x:v>
      </x:c>
      <x:c r="D21" s="8" t="str">
        <x:v>Nguyễn Hải Minh</x:v>
      </x:c>
      <x:c r="E21" s="8" t="str">
        <x:v>Not Started</x:v>
      </x:c>
      <x:c r="F21" s="8" t="str">
        <x:v>P0</x:v>
      </x:c>
      <x:c r="G21" s="54" t="n">
        <x:f>IF(OR($H$6="",'Chi tiet HK1'!E19="",'Chi tiet HK1'!F19="",'Chi tiet HK1'!F19&lt;'Chi tiet HK1'!E19),"",IF('Chi tiet HK1'!D19="Mốc",$H$6+'Chi tiet HK1'!F19*7-1,$H$6+('Chi tiet HK1'!E19-1)*7))</x:f>
        <x:v>46307</x:v>
      </x:c>
      <x:c r="H21" s="54" t="n">
        <x:f>IF(OR($H$6="",'Chi tiet HK1'!E19="",'Chi tiet HK1'!F19="",'Chi tiet HK1'!F19&lt;'Chi tiet HK1'!E19),"",$H$6+'Chi tiet HK1'!F19*7-1)</x:f>
        <x:v>46313</x:v>
      </x:c>
      <x:c r="I21" s="55" t="n">
        <x:f t="shared" si="1">IF(OR(G21="",H21="",H21&lt;G21),"",H21-G21+1)</x:f>
        <x:v>7</x:v>
      </x:c>
      <x:c r="J21" s="15"/>
      <x:c r="K21" s="12" t="str">
        <x:f t="shared" si="4">IF(OR($G21="",$H21="",$H21&lt;$G21),"",IF(AND(K$9&lt;=$H21,K$9+6&gt;=$G21),1,""))</x:f>
      </x:c>
      <x:c r="L21" s="13" t="n">
        <x:f t="shared" si="4">IF(OR($G21="",$H21="",$H21&lt;$G21),"",IF(AND(L$9&lt;=$H21,L$9+6&gt;=$G21),1,""))</x:f>
        <x:v>1</x:v>
      </x:c>
      <x:c r="M21" s="12" t="str">
        <x:f t="shared" si="4">IF(OR($G21="",$H21="",$H21&lt;$G21),"",IF(AND(M$9&lt;=$H21,M$9+6&gt;=$G21),1,""))</x:f>
      </x:c>
      <x:c r="N21" s="13" t="str">
        <x:f t="shared" si="4">IF(OR($G21="",$H21="",$H21&lt;$G21),"",IF(AND(N$9&lt;=$H21,N$9+6&gt;=$G21),1,""))</x:f>
      </x:c>
      <x:c r="O21" s="12" t="str">
        <x:f t="shared" si="4">IF(OR($G21="",$H21="",$H21&lt;$G21),"",IF(AND(O$9&lt;=$H21,O$9+6&gt;=$G21),1,""))</x:f>
      </x:c>
      <x:c r="P21" s="13" t="str">
        <x:f t="shared" si="4">IF(OR($G21="",$H21="",$H21&lt;$G21),"",IF(AND(P$9&lt;=$H21,P$9+6&gt;=$G21),1,""))</x:f>
      </x:c>
      <x:c r="Q21" s="12" t="str">
        <x:f t="shared" si="4">IF(OR($G21="",$H21="",$H21&lt;$G21),"",IF(AND(Q$9&lt;=$H21,Q$9+6&gt;=$G21),1,""))</x:f>
      </x:c>
      <x:c r="R21" s="13" t="str">
        <x:f t="shared" si="4">IF(OR($G21="",$H21="",$H21&lt;$G21),"",IF(AND(R$9&lt;=$H21,R$9+6&gt;=$G21),1,""))</x:f>
      </x:c>
      <x:c r="S21" s="12" t="str">
        <x:f t="shared" si="4">IF(OR($G21="",$H21="",$H21&lt;$G21),"",IF(AND(S$9&lt;=$H21,S$9+6&gt;=$G21),1,""))</x:f>
      </x:c>
      <x:c r="T21" s="13" t="str">
        <x:f t="shared" si="4">IF(OR($G21="",$H21="",$H21&lt;$G21),"",IF(AND(T$9&lt;=$H21,T$9+6&gt;=$G21),1,""))</x:f>
      </x:c>
      <x:c r="U21" s="12" t="str">
        <x:f t="shared" si="5">IF(OR($G21="",$H21="",$H21&lt;$G21),"",IF(AND(U$9&lt;=$H21,U$9+6&gt;=$G21),1,""))</x:f>
      </x:c>
      <x:c r="V21" s="13" t="str">
        <x:f t="shared" si="5">IF(OR($G21="",$H21="",$H21&lt;$G21),"",IF(AND(V$9&lt;=$H21,V$9+6&gt;=$G21),1,""))</x:f>
      </x:c>
      <x:c r="W21" s="12" t="str">
        <x:f t="shared" si="5">IF(OR($G21="",$H21="",$H21&lt;$G21),"",IF(AND(W$9&lt;=$H21,W$9+6&gt;=$G21),1,""))</x:f>
      </x:c>
      <x:c r="X21" s="13" t="str">
        <x:f t="shared" si="5">IF(OR($G21="",$H21="",$H21&lt;$G21),"",IF(AND(X$9&lt;=$H21,X$9+6&gt;=$G21),1,""))</x:f>
      </x:c>
      <x:c r="Y21" s="12" t="str">
        <x:f t="shared" si="5">IF(OR($G21="",$H21="",$H21&lt;$G21),"",IF(AND(Y$9&lt;=$H21,Y$9+6&gt;=$G21),1,""))</x:f>
      </x:c>
      <x:c r="Z21" s="13" t="str">
        <x:f t="shared" si="5">IF(OR($G21="",$H21="",$H21&lt;$G21),"",IF(AND(Z$9&lt;=$H21,Z$9+6&gt;=$G21),1,""))</x:f>
      </x:c>
      <x:c r="AA21" s="12" t="str">
        <x:f t="shared" si="5">IF(OR($G21="",$H21="",$H21&lt;$G21),"",IF(AND(AA$9&lt;=$H21,AA$9+6&gt;=$G21),1,""))</x:f>
      </x:c>
      <x:c r="AB21" s="13" t="str">
        <x:f t="shared" si="5">IF(OR($G21="",$H21="",$H21&lt;$G21),"",IF(AND(AB$9&lt;=$H21,AB$9+6&gt;=$G21),1,""))</x:f>
      </x:c>
      <x:c r="AC21" s="12" t="str">
        <x:f t="shared" si="5">IF(OR($G21="",$H21="",$H21&lt;$G21),"",IF(AND(AC$9&lt;=$H21,AC$9+6&gt;=$G21),1,""))</x:f>
      </x:c>
      <x:c r="AD21" s="13" t="str">
        <x:f t="shared" si="5">IF(OR($G21="",$H21="",$H21&lt;$G21),"",IF(AND(AD$9&lt;=$H21,AD$9+6&gt;=$G21),1,""))</x:f>
      </x:c>
    </x:row>
    <x:row r="22" ht="23" customHeight="1">
      <x:c r="B22" s="5" t="str">
        <x:v>Đồ án 1A</x:v>
      </x:c>
      <x:c r="C22" s="49" t="str">
        <x:v>P03 Khảo sát core và kit</x:v>
      </x:c>
      <x:c r="D22" s="7" t="str">
        <x:v>Nguyễn Hải Minh</x:v>
      </x:c>
      <x:c r="E22" s="7" t="str">
        <x:v>Not Started</x:v>
      </x:c>
      <x:c r="F22" s="7" t="str">
        <x:v>P1</x:v>
      </x:c>
      <x:c r="G22" s="53" t="n">
        <x:f>IF(OR($H$6="",'Chi tiet HK1'!E20="",'Chi tiet HK1'!F20="",'Chi tiet HK1'!F20&lt;'Chi tiet HK1'!E20),"",IF('Chi tiet HK1'!D20="Mốc",$H$6+'Chi tiet HK1'!F20*7-1,$H$6+('Chi tiet HK1'!E20-1)*7))</x:f>
        <x:v>46314</x:v>
      </x:c>
      <x:c r="H22" s="53" t="n">
        <x:f>IF(OR($H$6="",'Chi tiet HK1'!E20="",'Chi tiet HK1'!F20="",'Chi tiet HK1'!F20&lt;'Chi tiet HK1'!E20),"",$H$6+'Chi tiet HK1'!F20*7-1)</x:f>
        <x:v>46320</x:v>
      </x:c>
      <x:c r="I22" s="55" t="n">
        <x:f t="shared" si="1">IF(OR(G22="",H22="",H22&lt;G22),"",H22-G22+1)</x:f>
        <x:v>7</x:v>
      </x:c>
      <x:c r="J22" s="15"/>
      <x:c r="K22" s="12" t="str">
        <x:f t="shared" si="4">IF(OR($G22="",$H22="",$H22&lt;$G22),"",IF(AND(K$9&lt;=$H22,K$9+6&gt;=$G22),1,""))</x:f>
      </x:c>
      <x:c r="L22" s="13" t="str">
        <x:f t="shared" si="4">IF(OR($G22="",$H22="",$H22&lt;$G22),"",IF(AND(L$9&lt;=$H22,L$9+6&gt;=$G22),1,""))</x:f>
      </x:c>
      <x:c r="M22" s="12" t="n">
        <x:f t="shared" si="4">IF(OR($G22="",$H22="",$H22&lt;$G22),"",IF(AND(M$9&lt;=$H22,M$9+6&gt;=$G22),1,""))</x:f>
        <x:v>1</x:v>
      </x:c>
      <x:c r="N22" s="13" t="str">
        <x:f t="shared" si="4">IF(OR($G22="",$H22="",$H22&lt;$G22),"",IF(AND(N$9&lt;=$H22,N$9+6&gt;=$G22),1,""))</x:f>
      </x:c>
      <x:c r="O22" s="12" t="str">
        <x:f t="shared" si="4">IF(OR($G22="",$H22="",$H22&lt;$G22),"",IF(AND(O$9&lt;=$H22,O$9+6&gt;=$G22),1,""))</x:f>
      </x:c>
      <x:c r="P22" s="13" t="str">
        <x:f t="shared" si="4">IF(OR($G22="",$H22="",$H22&lt;$G22),"",IF(AND(P$9&lt;=$H22,P$9+6&gt;=$G22),1,""))</x:f>
      </x:c>
      <x:c r="Q22" s="12" t="str">
        <x:f t="shared" si="4">IF(OR($G22="",$H22="",$H22&lt;$G22),"",IF(AND(Q$9&lt;=$H22,Q$9+6&gt;=$G22),1,""))</x:f>
      </x:c>
      <x:c r="R22" s="13" t="str">
        <x:f t="shared" si="4">IF(OR($G22="",$H22="",$H22&lt;$G22),"",IF(AND(R$9&lt;=$H22,R$9+6&gt;=$G22),1,""))</x:f>
      </x:c>
      <x:c r="S22" s="12" t="str">
        <x:f t="shared" si="4">IF(OR($G22="",$H22="",$H22&lt;$G22),"",IF(AND(S$9&lt;=$H22,S$9+6&gt;=$G22),1,""))</x:f>
      </x:c>
      <x:c r="T22" s="13" t="str">
        <x:f t="shared" si="4">IF(OR($G22="",$H22="",$H22&lt;$G22),"",IF(AND(T$9&lt;=$H22,T$9+6&gt;=$G22),1,""))</x:f>
      </x:c>
      <x:c r="U22" s="12" t="str">
        <x:f t="shared" si="5">IF(OR($G22="",$H22="",$H22&lt;$G22),"",IF(AND(U$9&lt;=$H22,U$9+6&gt;=$G22),1,""))</x:f>
      </x:c>
      <x:c r="V22" s="13" t="str">
        <x:f t="shared" si="5">IF(OR($G22="",$H22="",$H22&lt;$G22),"",IF(AND(V$9&lt;=$H22,V$9+6&gt;=$G22),1,""))</x:f>
      </x:c>
      <x:c r="W22" s="12" t="str">
        <x:f t="shared" si="5">IF(OR($G22="",$H22="",$H22&lt;$G22),"",IF(AND(W$9&lt;=$H22,W$9+6&gt;=$G22),1,""))</x:f>
      </x:c>
      <x:c r="X22" s="13" t="str">
        <x:f t="shared" si="5">IF(OR($G22="",$H22="",$H22&lt;$G22),"",IF(AND(X$9&lt;=$H22,X$9+6&gt;=$G22),1,""))</x:f>
      </x:c>
      <x:c r="Y22" s="12" t="str">
        <x:f t="shared" si="5">IF(OR($G22="",$H22="",$H22&lt;$G22),"",IF(AND(Y$9&lt;=$H22,Y$9+6&gt;=$G22),1,""))</x:f>
      </x:c>
      <x:c r="Z22" s="13" t="str">
        <x:f t="shared" si="5">IF(OR($G22="",$H22="",$H22&lt;$G22),"",IF(AND(Z$9&lt;=$H22,Z$9+6&gt;=$G22),1,""))</x:f>
      </x:c>
      <x:c r="AA22" s="12" t="str">
        <x:f t="shared" si="5">IF(OR($G22="",$H22="",$H22&lt;$G22),"",IF(AND(AA$9&lt;=$H22,AA$9+6&gt;=$G22),1,""))</x:f>
      </x:c>
      <x:c r="AB22" s="13" t="str">
        <x:f t="shared" si="5">IF(OR($G22="",$H22="",$H22&lt;$G22),"",IF(AND(AB$9&lt;=$H22,AB$9+6&gt;=$G22),1,""))</x:f>
      </x:c>
      <x:c r="AC22" s="12" t="str">
        <x:f t="shared" si="5">IF(OR($G22="",$H22="",$H22&lt;$G22),"",IF(AND(AC$9&lt;=$H22,AC$9+6&gt;=$G22),1,""))</x:f>
      </x:c>
      <x:c r="AD22" s="13" t="str">
        <x:f t="shared" si="5">IF(OR($G22="",$H22="",$H22&lt;$G22),"",IF(AND(AD$9&lt;=$H22,AD$9+6&gt;=$G22),1,""))</x:f>
      </x:c>
    </x:row>
    <x:row r="23" ht="23" customHeight="1">
      <x:c r="B23" s="6" t="str">
        <x:v>Đồ án 1A</x:v>
      </x:c>
      <x:c r="C23" s="50" t="str">
        <x:v>P04 Đọc báo và tiêu chí baseline</x:v>
      </x:c>
      <x:c r="D23" s="8" t="str">
        <x:v>Nguyễn Hải Minh</x:v>
      </x:c>
      <x:c r="E23" s="8" t="str">
        <x:v>Not Started</x:v>
      </x:c>
      <x:c r="F23" s="8" t="str">
        <x:v>P1</x:v>
      </x:c>
      <x:c r="G23" s="54" t="n">
        <x:f>IF(OR($H$6="",'Chi tiet HK1'!E21="",'Chi tiet HK1'!F21="",'Chi tiet HK1'!F21&lt;'Chi tiet HK1'!E21),"",IF('Chi tiet HK1'!D21="Mốc",$H$6+'Chi tiet HK1'!F21*7-1,$H$6+('Chi tiet HK1'!E21-1)*7))</x:f>
        <x:v>46321</x:v>
      </x:c>
      <x:c r="H23" s="54" t="n">
        <x:f>IF(OR($H$6="",'Chi tiet HK1'!E21="",'Chi tiet HK1'!F21="",'Chi tiet HK1'!F21&lt;'Chi tiet HK1'!E21),"",$H$6+'Chi tiet HK1'!F21*7-1)</x:f>
        <x:v>46327</x:v>
      </x:c>
      <x:c r="I23" s="55" t="n">
        <x:f t="shared" si="1">IF(OR(G23="",H23="",H23&lt;G23),"",H23-G23+1)</x:f>
        <x:v>7</x:v>
      </x:c>
      <x:c r="J23" s="15"/>
      <x:c r="K23" s="12" t="str">
        <x:f t="shared" si="4">IF(OR($G23="",$H23="",$H23&lt;$G23),"",IF(AND(K$9&lt;=$H23,K$9+6&gt;=$G23),1,""))</x:f>
      </x:c>
      <x:c r="L23" s="13" t="str">
        <x:f t="shared" si="4">IF(OR($G23="",$H23="",$H23&lt;$G23),"",IF(AND(L$9&lt;=$H23,L$9+6&gt;=$G23),1,""))</x:f>
      </x:c>
      <x:c r="M23" s="12" t="str">
        <x:f t="shared" si="4">IF(OR($G23="",$H23="",$H23&lt;$G23),"",IF(AND(M$9&lt;=$H23,M$9+6&gt;=$G23),1,""))</x:f>
      </x:c>
      <x:c r="N23" s="13" t="n">
        <x:f t="shared" si="4">IF(OR($G23="",$H23="",$H23&lt;$G23),"",IF(AND(N$9&lt;=$H23,N$9+6&gt;=$G23),1,""))</x:f>
        <x:v>1</x:v>
      </x:c>
      <x:c r="O23" s="12" t="str">
        <x:f t="shared" si="4">IF(OR($G23="",$H23="",$H23&lt;$G23),"",IF(AND(O$9&lt;=$H23,O$9+6&gt;=$G23),1,""))</x:f>
      </x:c>
      <x:c r="P23" s="13" t="str">
        <x:f t="shared" si="4">IF(OR($G23="",$H23="",$H23&lt;$G23),"",IF(AND(P$9&lt;=$H23,P$9+6&gt;=$G23),1,""))</x:f>
      </x:c>
      <x:c r="Q23" s="12" t="str">
        <x:f t="shared" si="4">IF(OR($G23="",$H23="",$H23&lt;$G23),"",IF(AND(Q$9&lt;=$H23,Q$9+6&gt;=$G23),1,""))</x:f>
      </x:c>
      <x:c r="R23" s="13" t="str">
        <x:f t="shared" si="4">IF(OR($G23="",$H23="",$H23&lt;$G23),"",IF(AND(R$9&lt;=$H23,R$9+6&gt;=$G23),1,""))</x:f>
      </x:c>
      <x:c r="S23" s="12" t="str">
        <x:f t="shared" si="4">IF(OR($G23="",$H23="",$H23&lt;$G23),"",IF(AND(S$9&lt;=$H23,S$9+6&gt;=$G23),1,""))</x:f>
      </x:c>
      <x:c r="T23" s="13" t="str">
        <x:f t="shared" si="4">IF(OR($G23="",$H23="",$H23&lt;$G23),"",IF(AND(T$9&lt;=$H23,T$9+6&gt;=$G23),1,""))</x:f>
      </x:c>
      <x:c r="U23" s="12" t="str">
        <x:f t="shared" si="5">IF(OR($G23="",$H23="",$H23&lt;$G23),"",IF(AND(U$9&lt;=$H23,U$9+6&gt;=$G23),1,""))</x:f>
      </x:c>
      <x:c r="V23" s="13" t="str">
        <x:f t="shared" si="5">IF(OR($G23="",$H23="",$H23&lt;$G23),"",IF(AND(V$9&lt;=$H23,V$9+6&gt;=$G23),1,""))</x:f>
      </x:c>
      <x:c r="W23" s="12" t="str">
        <x:f t="shared" si="5">IF(OR($G23="",$H23="",$H23&lt;$G23),"",IF(AND(W$9&lt;=$H23,W$9+6&gt;=$G23),1,""))</x:f>
      </x:c>
      <x:c r="X23" s="13" t="str">
        <x:f t="shared" si="5">IF(OR($G23="",$H23="",$H23&lt;$G23),"",IF(AND(X$9&lt;=$H23,X$9+6&gt;=$G23),1,""))</x:f>
      </x:c>
      <x:c r="Y23" s="12" t="str">
        <x:f t="shared" si="5">IF(OR($G23="",$H23="",$H23&lt;$G23),"",IF(AND(Y$9&lt;=$H23,Y$9+6&gt;=$G23),1,""))</x:f>
      </x:c>
      <x:c r="Z23" s="13" t="str">
        <x:f t="shared" si="5">IF(OR($G23="",$H23="",$H23&lt;$G23),"",IF(AND(Z$9&lt;=$H23,Z$9+6&gt;=$G23),1,""))</x:f>
      </x:c>
      <x:c r="AA23" s="12" t="str">
        <x:f t="shared" si="5">IF(OR($G23="",$H23="",$H23&lt;$G23),"",IF(AND(AA$9&lt;=$H23,AA$9+6&gt;=$G23),1,""))</x:f>
      </x:c>
      <x:c r="AB23" s="13" t="str">
        <x:f t="shared" si="5">IF(OR($G23="",$H23="",$H23&lt;$G23),"",IF(AND(AB$9&lt;=$H23,AB$9+6&gt;=$G23),1,""))</x:f>
      </x:c>
      <x:c r="AC23" s="12" t="str">
        <x:f t="shared" si="5">IF(OR($G23="",$H23="",$H23&lt;$G23),"",IF(AND(AC$9&lt;=$H23,AC$9+6&gt;=$G23),1,""))</x:f>
      </x:c>
      <x:c r="AD23" s="13" t="str">
        <x:f t="shared" si="5">IF(OR($G23="",$H23="",$H23&lt;$G23),"",IF(AND(AD$9&lt;=$H23,AD$9+6&gt;=$G23),1,""))</x:f>
      </x:c>
    </x:row>
    <x:row r="24" ht="23" customHeight="1">
      <x:c r="B24" s="5" t="str">
        <x:v>Đồ án 1A</x:v>
      </x:c>
      <x:c r="C24" s="49" t="str">
        <x:v>P05 Chạy demo C của core</x:v>
      </x:c>
      <x:c r="D24" s="7" t="str">
        <x:v>Nguyễn Hải Minh</x:v>
      </x:c>
      <x:c r="E24" s="7" t="str">
        <x:v>Not Started</x:v>
      </x:c>
      <x:c r="F24" s="7" t="str">
        <x:v>P0</x:v>
      </x:c>
      <x:c r="G24" s="53" t="n">
        <x:f>IF(OR($H$6="",'Chi tiet HK1'!E22="",'Chi tiet HK1'!F22="",'Chi tiet HK1'!F22&lt;'Chi tiet HK1'!E22),"",IF('Chi tiet HK1'!D22="Mốc",$H$6+'Chi tiet HK1'!F22*7-1,$H$6+('Chi tiet HK1'!E22-1)*7))</x:f>
        <x:v>46328</x:v>
      </x:c>
      <x:c r="H24" s="53" t="n">
        <x:f>IF(OR($H$6="",'Chi tiet HK1'!E22="",'Chi tiet HK1'!F22="",'Chi tiet HK1'!F22&lt;'Chi tiet HK1'!E22),"",$H$6+'Chi tiet HK1'!F22*7-1)</x:f>
        <x:v>46334</x:v>
      </x:c>
      <x:c r="I24" s="55" t="n">
        <x:f t="shared" si="1">IF(OR(G24="",H24="",H24&lt;G24),"",H24-G24+1)</x:f>
        <x:v>7</x:v>
      </x:c>
      <x:c r="J24" s="15"/>
      <x:c r="K24" s="12" t="str">
        <x:f t="shared" si="4">IF(OR($G24="",$H24="",$H24&lt;$G24),"",IF(AND(K$9&lt;=$H24,K$9+6&gt;=$G24),1,""))</x:f>
      </x:c>
      <x:c r="L24" s="13" t="str">
        <x:f t="shared" si="4">IF(OR($G24="",$H24="",$H24&lt;$G24),"",IF(AND(L$9&lt;=$H24,L$9+6&gt;=$G24),1,""))</x:f>
      </x:c>
      <x:c r="M24" s="12" t="str">
        <x:f t="shared" si="4">IF(OR($G24="",$H24="",$H24&lt;$G24),"",IF(AND(M$9&lt;=$H24,M$9+6&gt;=$G24),1,""))</x:f>
      </x:c>
      <x:c r="N24" s="13" t="str">
        <x:f t="shared" si="4">IF(OR($G24="",$H24="",$H24&lt;$G24),"",IF(AND(N$9&lt;=$H24,N$9+6&gt;=$G24),1,""))</x:f>
      </x:c>
      <x:c r="O24" s="12" t="n">
        <x:f t="shared" si="4">IF(OR($G24="",$H24="",$H24&lt;$G24),"",IF(AND(O$9&lt;=$H24,O$9+6&gt;=$G24),1,""))</x:f>
        <x:v>1</x:v>
      </x:c>
      <x:c r="P24" s="13" t="str">
        <x:f t="shared" si="4">IF(OR($G24="",$H24="",$H24&lt;$G24),"",IF(AND(P$9&lt;=$H24,P$9+6&gt;=$G24),1,""))</x:f>
      </x:c>
      <x:c r="Q24" s="12" t="str">
        <x:f t="shared" si="4">IF(OR($G24="",$H24="",$H24&lt;$G24),"",IF(AND(Q$9&lt;=$H24,Q$9+6&gt;=$G24),1,""))</x:f>
      </x:c>
      <x:c r="R24" s="13" t="str">
        <x:f t="shared" si="4">IF(OR($G24="",$H24="",$H24&lt;$G24),"",IF(AND(R$9&lt;=$H24,R$9+6&gt;=$G24),1,""))</x:f>
      </x:c>
      <x:c r="S24" s="12" t="str">
        <x:f t="shared" si="4">IF(OR($G24="",$H24="",$H24&lt;$G24),"",IF(AND(S$9&lt;=$H24,S$9+6&gt;=$G24),1,""))</x:f>
      </x:c>
      <x:c r="T24" s="13" t="str">
        <x:f t="shared" si="4">IF(OR($G24="",$H24="",$H24&lt;$G24),"",IF(AND(T$9&lt;=$H24,T$9+6&gt;=$G24),1,""))</x:f>
      </x:c>
      <x:c r="U24" s="12" t="str">
        <x:f t="shared" si="5">IF(OR($G24="",$H24="",$H24&lt;$G24),"",IF(AND(U$9&lt;=$H24,U$9+6&gt;=$G24),1,""))</x:f>
      </x:c>
      <x:c r="V24" s="13" t="str">
        <x:f t="shared" si="5">IF(OR($G24="",$H24="",$H24&lt;$G24),"",IF(AND(V$9&lt;=$H24,V$9+6&gt;=$G24),1,""))</x:f>
      </x:c>
      <x:c r="W24" s="12" t="str">
        <x:f t="shared" si="5">IF(OR($G24="",$H24="",$H24&lt;$G24),"",IF(AND(W$9&lt;=$H24,W$9+6&gt;=$G24),1,""))</x:f>
      </x:c>
      <x:c r="X24" s="13" t="str">
        <x:f t="shared" si="5">IF(OR($G24="",$H24="",$H24&lt;$G24),"",IF(AND(X$9&lt;=$H24,X$9+6&gt;=$G24),1,""))</x:f>
      </x:c>
      <x:c r="Y24" s="12" t="str">
        <x:f t="shared" si="5">IF(OR($G24="",$H24="",$H24&lt;$G24),"",IF(AND(Y$9&lt;=$H24,Y$9+6&gt;=$G24),1,""))</x:f>
      </x:c>
      <x:c r="Z24" s="13" t="str">
        <x:f t="shared" si="5">IF(OR($G24="",$H24="",$H24&lt;$G24),"",IF(AND(Z$9&lt;=$H24,Z$9+6&gt;=$G24),1,""))</x:f>
      </x:c>
      <x:c r="AA24" s="12" t="str">
        <x:f t="shared" si="5">IF(OR($G24="",$H24="",$H24&lt;$G24),"",IF(AND(AA$9&lt;=$H24,AA$9+6&gt;=$G24),1,""))</x:f>
      </x:c>
      <x:c r="AB24" s="13" t="str">
        <x:f t="shared" si="5">IF(OR($G24="",$H24="",$H24&lt;$G24),"",IF(AND(AB$9&lt;=$H24,AB$9+6&gt;=$G24),1,""))</x:f>
      </x:c>
      <x:c r="AC24" s="12" t="str">
        <x:f t="shared" si="5">IF(OR($G24="",$H24="",$H24&lt;$G24),"",IF(AND(AC$9&lt;=$H24,AC$9+6&gt;=$G24),1,""))</x:f>
      </x:c>
      <x:c r="AD24" s="13" t="str">
        <x:f t="shared" si="5">IF(OR($G24="",$H24="",$H24&lt;$G24),"",IF(AND(AD$9&lt;=$H24,AD$9+6&gt;=$G24),1,""))</x:f>
      </x:c>
    </x:row>
    <x:row r="25" ht="23" customHeight="1">
      <x:c r="B25" s="6" t="str">
        <x:v>Đồ án 1A</x:v>
      </x:c>
      <x:c r="C25" s="50" t="str">
        <x:v>P06 Đọc core bằng waveform</x:v>
      </x:c>
      <x:c r="D25" s="8" t="str">
        <x:v>Nguyễn Hải Minh</x:v>
      </x:c>
      <x:c r="E25" s="8" t="str">
        <x:v>Not Started</x:v>
      </x:c>
      <x:c r="F25" s="8" t="str">
        <x:v>P0</x:v>
      </x:c>
      <x:c r="G25" s="54" t="n">
        <x:f>IF(OR($H$6="",'Chi tiet HK1'!E23="",'Chi tiet HK1'!F23="",'Chi tiet HK1'!F23&lt;'Chi tiet HK1'!E23),"",IF('Chi tiet HK1'!D23="Mốc",$H$6+'Chi tiet HK1'!F23*7-1,$H$6+('Chi tiet HK1'!E23-1)*7))</x:f>
        <x:v>46335</x:v>
      </x:c>
      <x:c r="H25" s="54" t="n">
        <x:f>IF(OR($H$6="",'Chi tiet HK1'!E23="",'Chi tiet HK1'!F23="",'Chi tiet HK1'!F23&lt;'Chi tiet HK1'!E23),"",$H$6+'Chi tiet HK1'!F23*7-1)</x:f>
        <x:v>46341</x:v>
      </x:c>
      <x:c r="I25" s="55" t="n">
        <x:f t="shared" si="1">IF(OR(G25="",H25="",H25&lt;G25),"",H25-G25+1)</x:f>
        <x:v>7</x:v>
      </x:c>
      <x:c r="J25" s="15"/>
      <x:c r="K25" s="12" t="str">
        <x:f t="shared" si="4">IF(OR($G25="",$H25="",$H25&lt;$G25),"",IF(AND(K$9&lt;=$H25,K$9+6&gt;=$G25),1,""))</x:f>
      </x:c>
      <x:c r="L25" s="13" t="str">
        <x:f t="shared" si="4">IF(OR($G25="",$H25="",$H25&lt;$G25),"",IF(AND(L$9&lt;=$H25,L$9+6&gt;=$G25),1,""))</x:f>
      </x:c>
      <x:c r="M25" s="12" t="str">
        <x:f t="shared" si="4">IF(OR($G25="",$H25="",$H25&lt;$G25),"",IF(AND(M$9&lt;=$H25,M$9+6&gt;=$G25),1,""))</x:f>
      </x:c>
      <x:c r="N25" s="13" t="str">
        <x:f t="shared" si="4">IF(OR($G25="",$H25="",$H25&lt;$G25),"",IF(AND(N$9&lt;=$H25,N$9+6&gt;=$G25),1,""))</x:f>
      </x:c>
      <x:c r="O25" s="12" t="str">
        <x:f t="shared" si="4">IF(OR($G25="",$H25="",$H25&lt;$G25),"",IF(AND(O$9&lt;=$H25,O$9+6&gt;=$G25),1,""))</x:f>
      </x:c>
      <x:c r="P25" s="13" t="n">
        <x:f t="shared" si="4">IF(OR($G25="",$H25="",$H25&lt;$G25),"",IF(AND(P$9&lt;=$H25,P$9+6&gt;=$G25),1,""))</x:f>
        <x:v>1</x:v>
      </x:c>
      <x:c r="Q25" s="12" t="str">
        <x:f t="shared" si="4">IF(OR($G25="",$H25="",$H25&lt;$G25),"",IF(AND(Q$9&lt;=$H25,Q$9+6&gt;=$G25),1,""))</x:f>
      </x:c>
      <x:c r="R25" s="13" t="str">
        <x:f t="shared" si="4">IF(OR($G25="",$H25="",$H25&lt;$G25),"",IF(AND(R$9&lt;=$H25,R$9+6&gt;=$G25),1,""))</x:f>
      </x:c>
      <x:c r="S25" s="12" t="str">
        <x:f t="shared" si="4">IF(OR($G25="",$H25="",$H25&lt;$G25),"",IF(AND(S$9&lt;=$H25,S$9+6&gt;=$G25),1,""))</x:f>
      </x:c>
      <x:c r="T25" s="13" t="str">
        <x:f t="shared" si="4">IF(OR($G25="",$H25="",$H25&lt;$G25),"",IF(AND(T$9&lt;=$H25,T$9+6&gt;=$G25),1,""))</x:f>
      </x:c>
      <x:c r="U25" s="12" t="str">
        <x:f t="shared" si="5">IF(OR($G25="",$H25="",$H25&lt;$G25),"",IF(AND(U$9&lt;=$H25,U$9+6&gt;=$G25),1,""))</x:f>
      </x:c>
      <x:c r="V25" s="13" t="str">
        <x:f t="shared" si="5">IF(OR($G25="",$H25="",$H25&lt;$G25),"",IF(AND(V$9&lt;=$H25,V$9+6&gt;=$G25),1,""))</x:f>
      </x:c>
      <x:c r="W25" s="12" t="str">
        <x:f t="shared" si="5">IF(OR($G25="",$H25="",$H25&lt;$G25),"",IF(AND(W$9&lt;=$H25,W$9+6&gt;=$G25),1,""))</x:f>
      </x:c>
      <x:c r="X25" s="13" t="str">
        <x:f t="shared" si="5">IF(OR($G25="",$H25="",$H25&lt;$G25),"",IF(AND(X$9&lt;=$H25,X$9+6&gt;=$G25),1,""))</x:f>
      </x:c>
      <x:c r="Y25" s="12" t="str">
        <x:f t="shared" si="5">IF(OR($G25="",$H25="",$H25&lt;$G25),"",IF(AND(Y$9&lt;=$H25,Y$9+6&gt;=$G25),1,""))</x:f>
      </x:c>
      <x:c r="Z25" s="13" t="str">
        <x:f t="shared" si="5">IF(OR($G25="",$H25="",$H25&lt;$G25),"",IF(AND(Z$9&lt;=$H25,Z$9+6&gt;=$G25),1,""))</x:f>
      </x:c>
      <x:c r="AA25" s="12" t="str">
        <x:f t="shared" si="5">IF(OR($G25="",$H25="",$H25&lt;$G25),"",IF(AND(AA$9&lt;=$H25,AA$9+6&gt;=$G25),1,""))</x:f>
      </x:c>
      <x:c r="AB25" s="13" t="str">
        <x:f t="shared" si="5">IF(OR($G25="",$H25="",$H25&lt;$G25),"",IF(AND(AB$9&lt;=$H25,AB$9+6&gt;=$G25),1,""))</x:f>
      </x:c>
      <x:c r="AC25" s="12" t="str">
        <x:f t="shared" si="5">IF(OR($G25="",$H25="",$H25&lt;$G25),"",IF(AND(AC$9&lt;=$H25,AC$9+6&gt;=$G25),1,""))</x:f>
      </x:c>
      <x:c r="AD25" s="13" t="str">
        <x:f t="shared" si="5">IF(OR($G25="",$H25="",$H25&lt;$G25),"",IF(AND(AD$9&lt;=$H25,AD$9+6&gt;=$G25),1,""))</x:f>
      </x:c>
    </x:row>
    <x:row r="26" ht="23" customHeight="1">
      <x:c r="B26" s="5" t="str">
        <x:v>Đồ án 1A</x:v>
      </x:c>
      <x:c r="C26" s="49" t="str">
        <x:v>P07 Baseline BRAM và UART</x:v>
      </x:c>
      <x:c r="D26" s="7" t="str">
        <x:v>Nguyễn Hải Minh</x:v>
      </x:c>
      <x:c r="E26" s="7" t="str">
        <x:v>Not Started</x:v>
      </x:c>
      <x:c r="F26" s="7" t="str">
        <x:v>P0</x:v>
      </x:c>
      <x:c r="G26" s="53" t="n">
        <x:f>IF(OR($H$6="",'Chi tiet HK1'!E24="",'Chi tiet HK1'!F24="",'Chi tiet HK1'!F24&lt;'Chi tiet HK1'!E24),"",IF('Chi tiet HK1'!D24="Mốc",$H$6+'Chi tiet HK1'!F24*7-1,$H$6+('Chi tiet HK1'!E24-1)*7))</x:f>
        <x:v>46342</x:v>
      </x:c>
      <x:c r="H26" s="53" t="n">
        <x:f>IF(OR($H$6="",'Chi tiet HK1'!E24="",'Chi tiet HK1'!F24="",'Chi tiet HK1'!F24&lt;'Chi tiet HK1'!E24),"",$H$6+'Chi tiet HK1'!F24*7-1)</x:f>
        <x:v>46348</x:v>
      </x:c>
      <x:c r="I26" s="55" t="n">
        <x:f t="shared" si="1">IF(OR(G26="",H26="",H26&lt;G26),"",H26-G26+1)</x:f>
        <x:v>7</x:v>
      </x:c>
      <x:c r="J26" s="15"/>
      <x:c r="K26" s="12" t="str">
        <x:f t="shared" si="4">IF(OR($G26="",$H26="",$H26&lt;$G26),"",IF(AND(K$9&lt;=$H26,K$9+6&gt;=$G26),1,""))</x:f>
      </x:c>
      <x:c r="L26" s="13" t="str">
        <x:f t="shared" si="4">IF(OR($G26="",$H26="",$H26&lt;$G26),"",IF(AND(L$9&lt;=$H26,L$9+6&gt;=$G26),1,""))</x:f>
      </x:c>
      <x:c r="M26" s="12" t="str">
        <x:f t="shared" si="4">IF(OR($G26="",$H26="",$H26&lt;$G26),"",IF(AND(M$9&lt;=$H26,M$9+6&gt;=$G26),1,""))</x:f>
      </x:c>
      <x:c r="N26" s="13" t="str">
        <x:f t="shared" si="4">IF(OR($G26="",$H26="",$H26&lt;$G26),"",IF(AND(N$9&lt;=$H26,N$9+6&gt;=$G26),1,""))</x:f>
      </x:c>
      <x:c r="O26" s="12" t="str">
        <x:f t="shared" si="4">IF(OR($G26="",$H26="",$H26&lt;$G26),"",IF(AND(O$9&lt;=$H26,O$9+6&gt;=$G26),1,""))</x:f>
      </x:c>
      <x:c r="P26" s="13" t="str">
        <x:f t="shared" si="4">IF(OR($G26="",$H26="",$H26&lt;$G26),"",IF(AND(P$9&lt;=$H26,P$9+6&gt;=$G26),1,""))</x:f>
      </x:c>
      <x:c r="Q26" s="12" t="n">
        <x:f t="shared" si="4">IF(OR($G26="",$H26="",$H26&lt;$G26),"",IF(AND(Q$9&lt;=$H26,Q$9+6&gt;=$G26),1,""))</x:f>
        <x:v>1</x:v>
      </x:c>
      <x:c r="R26" s="13" t="str">
        <x:f t="shared" si="4">IF(OR($G26="",$H26="",$H26&lt;$G26),"",IF(AND(R$9&lt;=$H26,R$9+6&gt;=$G26),1,""))</x:f>
      </x:c>
      <x:c r="S26" s="12" t="str">
        <x:f t="shared" si="4">IF(OR($G26="",$H26="",$H26&lt;$G26),"",IF(AND(S$9&lt;=$H26,S$9+6&gt;=$G26),1,""))</x:f>
      </x:c>
      <x:c r="T26" s="13" t="str">
        <x:f t="shared" si="4">IF(OR($G26="",$H26="",$H26&lt;$G26),"",IF(AND(T$9&lt;=$H26,T$9+6&gt;=$G26),1,""))</x:f>
      </x:c>
      <x:c r="U26" s="12" t="str">
        <x:f t="shared" si="5">IF(OR($G26="",$H26="",$H26&lt;$G26),"",IF(AND(U$9&lt;=$H26,U$9+6&gt;=$G26),1,""))</x:f>
      </x:c>
      <x:c r="V26" s="13" t="str">
        <x:f t="shared" si="5">IF(OR($G26="",$H26="",$H26&lt;$G26),"",IF(AND(V$9&lt;=$H26,V$9+6&gt;=$G26),1,""))</x:f>
      </x:c>
      <x:c r="W26" s="12" t="str">
        <x:f t="shared" si="5">IF(OR($G26="",$H26="",$H26&lt;$G26),"",IF(AND(W$9&lt;=$H26,W$9+6&gt;=$G26),1,""))</x:f>
      </x:c>
      <x:c r="X26" s="13" t="str">
        <x:f t="shared" si="5">IF(OR($G26="",$H26="",$H26&lt;$G26),"",IF(AND(X$9&lt;=$H26,X$9+6&gt;=$G26),1,""))</x:f>
      </x:c>
      <x:c r="Y26" s="12" t="str">
        <x:f t="shared" si="5">IF(OR($G26="",$H26="",$H26&lt;$G26),"",IF(AND(Y$9&lt;=$H26,Y$9+6&gt;=$G26),1,""))</x:f>
      </x:c>
      <x:c r="Z26" s="13" t="str">
        <x:f t="shared" si="5">IF(OR($G26="",$H26="",$H26&lt;$G26),"",IF(AND(Z$9&lt;=$H26,Z$9+6&gt;=$G26),1,""))</x:f>
      </x:c>
      <x:c r="AA26" s="12" t="str">
        <x:f t="shared" si="5">IF(OR($G26="",$H26="",$H26&lt;$G26),"",IF(AND(AA$9&lt;=$H26,AA$9+6&gt;=$G26),1,""))</x:f>
      </x:c>
      <x:c r="AB26" s="13" t="str">
        <x:f t="shared" si="5">IF(OR($G26="",$H26="",$H26&lt;$G26),"",IF(AND(AB$9&lt;=$H26,AB$9+6&gt;=$G26),1,""))</x:f>
      </x:c>
      <x:c r="AC26" s="12" t="str">
        <x:f t="shared" si="5">IF(OR($G26="",$H26="",$H26&lt;$G26),"",IF(AND(AC$9&lt;=$H26,AC$9+6&gt;=$G26),1,""))</x:f>
      </x:c>
      <x:c r="AD26" s="13" t="str">
        <x:f t="shared" si="5">IF(OR($G26="",$H26="",$H26&lt;$G26),"",IF(AND(AD$9&lt;=$H26,AD$9+6&gt;=$G26),1,""))</x:f>
      </x:c>
    </x:row>
    <x:row r="27" ht="23" customHeight="1">
      <x:c r="B27" s="6" t="str">
        <x:v>Đồ án 1A</x:v>
      </x:c>
      <x:c r="C27" s="50" t="str">
        <x:v>P08 Chốt baseline cuối 1A</x:v>
      </x:c>
      <x:c r="D27" s="8" t="str">
        <x:v>Nguyễn Hải Minh</x:v>
      </x:c>
      <x:c r="E27" s="8" t="str">
        <x:v>Not Started</x:v>
      </x:c>
      <x:c r="F27" s="8" t="str">
        <x:v>P0</x:v>
      </x:c>
      <x:c r="G27" s="54" t="n">
        <x:f>IF(OR($H$6="",'Chi tiet HK1'!E25="",'Chi tiet HK1'!F25="",'Chi tiet HK1'!F25&lt;'Chi tiet HK1'!E25),"",IF('Chi tiet HK1'!D25="Mốc",$H$6+'Chi tiet HK1'!F25*7-1,$H$6+('Chi tiet HK1'!E25-1)*7))</x:f>
        <x:v>46349</x:v>
      </x:c>
      <x:c r="H27" s="54" t="n">
        <x:f>IF(OR($H$6="",'Chi tiet HK1'!E25="",'Chi tiet HK1'!F25="",'Chi tiet HK1'!F25&lt;'Chi tiet HK1'!E25),"",$H$6+'Chi tiet HK1'!F25*7-1)</x:f>
        <x:v>46355</x:v>
      </x:c>
      <x:c r="I27" s="55" t="n">
        <x:f t="shared" si="1">IF(OR(G27="",H27="",H27&lt;G27),"",H27-G27+1)</x:f>
        <x:v>7</x:v>
      </x:c>
      <x:c r="J27" s="15"/>
      <x:c r="K27" s="12" t="str">
        <x:f t="shared" si="4">IF(OR($G27="",$H27="",$H27&lt;$G27),"",IF(AND(K$9&lt;=$H27,K$9+6&gt;=$G27),1,""))</x:f>
      </x:c>
      <x:c r="L27" s="13" t="str">
        <x:f t="shared" si="4">IF(OR($G27="",$H27="",$H27&lt;$G27),"",IF(AND(L$9&lt;=$H27,L$9+6&gt;=$G27),1,""))</x:f>
      </x:c>
      <x:c r="M27" s="12" t="str">
        <x:f t="shared" si="4">IF(OR($G27="",$H27="",$H27&lt;$G27),"",IF(AND(M$9&lt;=$H27,M$9+6&gt;=$G27),1,""))</x:f>
      </x:c>
      <x:c r="N27" s="13" t="str">
        <x:f t="shared" si="4">IF(OR($G27="",$H27="",$H27&lt;$G27),"",IF(AND(N$9&lt;=$H27,N$9+6&gt;=$G27),1,""))</x:f>
      </x:c>
      <x:c r="O27" s="12" t="str">
        <x:f t="shared" si="4">IF(OR($G27="",$H27="",$H27&lt;$G27),"",IF(AND(O$9&lt;=$H27,O$9+6&gt;=$G27),1,""))</x:f>
      </x:c>
      <x:c r="P27" s="13" t="str">
        <x:f t="shared" si="4">IF(OR($G27="",$H27="",$H27&lt;$G27),"",IF(AND(P$9&lt;=$H27,P$9+6&gt;=$G27),1,""))</x:f>
      </x:c>
      <x:c r="Q27" s="12" t="str">
        <x:f t="shared" si="4">IF(OR($G27="",$H27="",$H27&lt;$G27),"",IF(AND(Q$9&lt;=$H27,Q$9+6&gt;=$G27),1,""))</x:f>
      </x:c>
      <x:c r="R27" s="13" t="n">
        <x:f t="shared" si="4">IF(OR($G27="",$H27="",$H27&lt;$G27),"",IF(AND(R$9&lt;=$H27,R$9+6&gt;=$G27),1,""))</x:f>
        <x:v>1</x:v>
      </x:c>
      <x:c r="S27" s="12" t="str">
        <x:f t="shared" si="4">IF(OR($G27="",$H27="",$H27&lt;$G27),"",IF(AND(S$9&lt;=$H27,S$9+6&gt;=$G27),1,""))</x:f>
      </x:c>
      <x:c r="T27" s="13" t="str">
        <x:f t="shared" si="4">IF(OR($G27="",$H27="",$H27&lt;$G27),"",IF(AND(T$9&lt;=$H27,T$9+6&gt;=$G27),1,""))</x:f>
      </x:c>
      <x:c r="U27" s="12" t="str">
        <x:f t="shared" si="5">IF(OR($G27="",$H27="",$H27&lt;$G27),"",IF(AND(U$9&lt;=$H27,U$9+6&gt;=$G27),1,""))</x:f>
      </x:c>
      <x:c r="V27" s="13" t="str">
        <x:f t="shared" si="5">IF(OR($G27="",$H27="",$H27&lt;$G27),"",IF(AND(V$9&lt;=$H27,V$9+6&gt;=$G27),1,""))</x:f>
      </x:c>
      <x:c r="W27" s="12" t="str">
        <x:f t="shared" si="5">IF(OR($G27="",$H27="",$H27&lt;$G27),"",IF(AND(W$9&lt;=$H27,W$9+6&gt;=$G27),1,""))</x:f>
      </x:c>
      <x:c r="X27" s="13" t="str">
        <x:f t="shared" si="5">IF(OR($G27="",$H27="",$H27&lt;$G27),"",IF(AND(X$9&lt;=$H27,X$9+6&gt;=$G27),1,""))</x:f>
      </x:c>
      <x:c r="Y27" s="12" t="str">
        <x:f t="shared" si="5">IF(OR($G27="",$H27="",$H27&lt;$G27),"",IF(AND(Y$9&lt;=$H27,Y$9+6&gt;=$G27),1,""))</x:f>
      </x:c>
      <x:c r="Z27" s="13" t="str">
        <x:f t="shared" si="5">IF(OR($G27="",$H27="",$H27&lt;$G27),"",IF(AND(Z$9&lt;=$H27,Z$9+6&gt;=$G27),1,""))</x:f>
      </x:c>
      <x:c r="AA27" s="12" t="str">
        <x:f t="shared" si="5">IF(OR($G27="",$H27="",$H27&lt;$G27),"",IF(AND(AA$9&lt;=$H27,AA$9+6&gt;=$G27),1,""))</x:f>
      </x:c>
      <x:c r="AB27" s="13" t="str">
        <x:f t="shared" si="5">IF(OR($G27="",$H27="",$H27&lt;$G27),"",IF(AND(AB$9&lt;=$H27,AB$9+6&gt;=$G27),1,""))</x:f>
      </x:c>
      <x:c r="AC27" s="12" t="str">
        <x:f t="shared" si="5">IF(OR($G27="",$H27="",$H27&lt;$G27),"",IF(AND(AC$9&lt;=$H27,AC$9+6&gt;=$G27),1,""))</x:f>
      </x:c>
      <x:c r="AD27" s="13" t="str">
        <x:f t="shared" si="5">IF(OR($G27="",$H27="",$H27&lt;$G27),"",IF(AND(AD$9&lt;=$H27,AD$9+6&gt;=$G27),1,""))</x:f>
      </x:c>
    </x:row>
    <x:row r="28" ht="23" customHeight="1">
      <x:c r="B28" s="5" t="str">
        <x:v>Đồ án 1B</x:v>
      </x:c>
      <x:c r="C28" s="49" t="str">
        <x:v>P09 Bộ đo cycle và kiểm tra</x:v>
      </x:c>
      <x:c r="D28" s="7" t="str">
        <x:v>Nguyễn Hải Minh</x:v>
      </x:c>
      <x:c r="E28" s="7" t="str">
        <x:v>Not Started</x:v>
      </x:c>
      <x:c r="F28" s="7" t="str">
        <x:v>P0</x:v>
      </x:c>
      <x:c r="G28" s="53" t="n">
        <x:f>IF(OR($H$6="",'Chi tiet HK1'!E26="",'Chi tiet HK1'!F26="",'Chi tiet HK1'!F26&lt;'Chi tiet HK1'!E26),"",IF('Chi tiet HK1'!D26="Mốc",$H$6+'Chi tiet HK1'!F26*7-1,$H$6+('Chi tiet HK1'!E26-1)*7))</x:f>
        <x:v>46356</x:v>
      </x:c>
      <x:c r="H28" s="53" t="n">
        <x:f>IF(OR($H$6="",'Chi tiet HK1'!E26="",'Chi tiet HK1'!F26="",'Chi tiet HK1'!F26&lt;'Chi tiet HK1'!E26),"",$H$6+'Chi tiet HK1'!F26*7-1)</x:f>
        <x:v>46362</x:v>
      </x:c>
      <x:c r="I28" s="55" t="n">
        <x:f t="shared" si="1">IF(OR(G28="",H28="",H28&lt;G28),"",H28-G28+1)</x:f>
        <x:v>7</x:v>
      </x:c>
      <x:c r="J28" s="15"/>
      <x:c r="K28" s="12" t="str">
        <x:f t="shared" si="4">IF(OR($G28="",$H28="",$H28&lt;$G28),"",IF(AND(K$9&lt;=$H28,K$9+6&gt;=$G28),1,""))</x:f>
      </x:c>
      <x:c r="L28" s="13" t="str">
        <x:f t="shared" si="4">IF(OR($G28="",$H28="",$H28&lt;$G28),"",IF(AND(L$9&lt;=$H28,L$9+6&gt;=$G28),1,""))</x:f>
      </x:c>
      <x:c r="M28" s="12" t="str">
        <x:f t="shared" si="4">IF(OR($G28="",$H28="",$H28&lt;$G28),"",IF(AND(M$9&lt;=$H28,M$9+6&gt;=$G28),1,""))</x:f>
      </x:c>
      <x:c r="N28" s="13" t="str">
        <x:f t="shared" si="4">IF(OR($G28="",$H28="",$H28&lt;$G28),"",IF(AND(N$9&lt;=$H28,N$9+6&gt;=$G28),1,""))</x:f>
      </x:c>
      <x:c r="O28" s="12" t="str">
        <x:f t="shared" si="4">IF(OR($G28="",$H28="",$H28&lt;$G28),"",IF(AND(O$9&lt;=$H28,O$9+6&gt;=$G28),1,""))</x:f>
      </x:c>
      <x:c r="P28" s="13" t="str">
        <x:f t="shared" si="4">IF(OR($G28="",$H28="",$H28&lt;$G28),"",IF(AND(P$9&lt;=$H28,P$9+6&gt;=$G28),1,""))</x:f>
      </x:c>
      <x:c r="Q28" s="12" t="str">
        <x:f t="shared" si="4">IF(OR($G28="",$H28="",$H28&lt;$G28),"",IF(AND(Q$9&lt;=$H28,Q$9+6&gt;=$G28),1,""))</x:f>
      </x:c>
      <x:c r="R28" s="13" t="str">
        <x:f t="shared" si="4">IF(OR($G28="",$H28="",$H28&lt;$G28),"",IF(AND(R$9&lt;=$H28,R$9+6&gt;=$G28),1,""))</x:f>
      </x:c>
      <x:c r="S28" s="12" t="n">
        <x:f t="shared" si="4">IF(OR($G28="",$H28="",$H28&lt;$G28),"",IF(AND(S$9&lt;=$H28,S$9+6&gt;=$G28),1,""))</x:f>
        <x:v>1</x:v>
      </x:c>
      <x:c r="T28" s="13" t="str">
        <x:f t="shared" si="4">IF(OR($G28="",$H28="",$H28&lt;$G28),"",IF(AND(T$9&lt;=$H28,T$9+6&gt;=$G28),1,""))</x:f>
      </x:c>
      <x:c r="U28" s="12" t="str">
        <x:f t="shared" si="5">IF(OR($G28="",$H28="",$H28&lt;$G28),"",IF(AND(U$9&lt;=$H28,U$9+6&gt;=$G28),1,""))</x:f>
      </x:c>
      <x:c r="V28" s="13" t="str">
        <x:f t="shared" si="5">IF(OR($G28="",$H28="",$H28&lt;$G28),"",IF(AND(V$9&lt;=$H28,V$9+6&gt;=$G28),1,""))</x:f>
      </x:c>
      <x:c r="W28" s="12" t="str">
        <x:f t="shared" si="5">IF(OR($G28="",$H28="",$H28&lt;$G28),"",IF(AND(W$9&lt;=$H28,W$9+6&gt;=$G28),1,""))</x:f>
      </x:c>
      <x:c r="X28" s="13" t="str">
        <x:f t="shared" si="5">IF(OR($G28="",$H28="",$H28&lt;$G28),"",IF(AND(X$9&lt;=$H28,X$9+6&gt;=$G28),1,""))</x:f>
      </x:c>
      <x:c r="Y28" s="12" t="str">
        <x:f t="shared" si="5">IF(OR($G28="",$H28="",$H28&lt;$G28),"",IF(AND(Y$9&lt;=$H28,Y$9+6&gt;=$G28),1,""))</x:f>
      </x:c>
      <x:c r="Z28" s="13" t="str">
        <x:f t="shared" si="5">IF(OR($G28="",$H28="",$H28&lt;$G28),"",IF(AND(Z$9&lt;=$H28,Z$9+6&gt;=$G28),1,""))</x:f>
      </x:c>
      <x:c r="AA28" s="12" t="str">
        <x:f t="shared" si="5">IF(OR($G28="",$H28="",$H28&lt;$G28),"",IF(AND(AA$9&lt;=$H28,AA$9+6&gt;=$G28),1,""))</x:f>
      </x:c>
      <x:c r="AB28" s="13" t="str">
        <x:f t="shared" si="5">IF(OR($G28="",$H28="",$H28&lt;$G28),"",IF(AND(AB$9&lt;=$H28,AB$9+6&gt;=$G28),1,""))</x:f>
      </x:c>
      <x:c r="AC28" s="12" t="str">
        <x:f t="shared" si="5">IF(OR($G28="",$H28="",$H28&lt;$G28),"",IF(AND(AC$9&lt;=$H28,AC$9+6&gt;=$G28),1,""))</x:f>
      </x:c>
      <x:c r="AD28" s="13" t="str">
        <x:f t="shared" si="5">IF(OR($G28="",$H28="",$H28&lt;$G28),"",IF(AND(AD$9&lt;=$H28,AD$9+6&gt;=$G28),1,""))</x:f>
      </x:c>
    </x:row>
    <x:row r="29" ht="23" customHeight="1">
      <x:c r="B29" s="6" t="str">
        <x:v>Đồ án 1B</x:v>
      </x:c>
      <x:c r="C29" s="50" t="str">
        <x:v>P10 Build và chạy FPGA</x:v>
      </x:c>
      <x:c r="D29" s="8" t="str">
        <x:v>Nguyễn Hải Minh</x:v>
      </x:c>
      <x:c r="E29" s="8" t="str">
        <x:v>Not Started</x:v>
      </x:c>
      <x:c r="F29" s="8" t="str">
        <x:v>P0</x:v>
      </x:c>
      <x:c r="G29" s="54" t="n">
        <x:f>IF(OR($H$6="",'Chi tiet HK1'!E27="",'Chi tiet HK1'!F27="",'Chi tiet HK1'!F27&lt;'Chi tiet HK1'!E27),"",IF('Chi tiet HK1'!D27="Mốc",$H$6+'Chi tiet HK1'!F27*7-1,$H$6+('Chi tiet HK1'!E27-1)*7))</x:f>
        <x:v>46363</x:v>
      </x:c>
      <x:c r="H29" s="54" t="n">
        <x:f>IF(OR($H$6="",'Chi tiet HK1'!E27="",'Chi tiet HK1'!F27="",'Chi tiet HK1'!F27&lt;'Chi tiet HK1'!E27),"",$H$6+'Chi tiet HK1'!F27*7-1)</x:f>
        <x:v>46369</x:v>
      </x:c>
      <x:c r="I29" s="55" t="n">
        <x:f t="shared" si="1">IF(OR(G29="",H29="",H29&lt;G29),"",H29-G29+1)</x:f>
        <x:v>7</x:v>
      </x:c>
      <x:c r="J29" s="15"/>
      <x:c r="K29" s="12" t="str">
        <x:f t="shared" si="4">IF(OR($G29="",$H29="",$H29&lt;$G29),"",IF(AND(K$9&lt;=$H29,K$9+6&gt;=$G29),1,""))</x:f>
      </x:c>
      <x:c r="L29" s="13" t="str">
        <x:f t="shared" si="4">IF(OR($G29="",$H29="",$H29&lt;$G29),"",IF(AND(L$9&lt;=$H29,L$9+6&gt;=$G29),1,""))</x:f>
      </x:c>
      <x:c r="M29" s="12" t="str">
        <x:f t="shared" si="4">IF(OR($G29="",$H29="",$H29&lt;$G29),"",IF(AND(M$9&lt;=$H29,M$9+6&gt;=$G29),1,""))</x:f>
      </x:c>
      <x:c r="N29" s="13" t="str">
        <x:f t="shared" si="4">IF(OR($G29="",$H29="",$H29&lt;$G29),"",IF(AND(N$9&lt;=$H29,N$9+6&gt;=$G29),1,""))</x:f>
      </x:c>
      <x:c r="O29" s="12" t="str">
        <x:f t="shared" si="4">IF(OR($G29="",$H29="",$H29&lt;$G29),"",IF(AND(O$9&lt;=$H29,O$9+6&gt;=$G29),1,""))</x:f>
      </x:c>
      <x:c r="P29" s="13" t="str">
        <x:f t="shared" si="4">IF(OR($G29="",$H29="",$H29&lt;$G29),"",IF(AND(P$9&lt;=$H29,P$9+6&gt;=$G29),1,""))</x:f>
      </x:c>
      <x:c r="Q29" s="12" t="str">
        <x:f t="shared" si="4">IF(OR($G29="",$H29="",$H29&lt;$G29),"",IF(AND(Q$9&lt;=$H29,Q$9+6&gt;=$G29),1,""))</x:f>
      </x:c>
      <x:c r="R29" s="13" t="str">
        <x:f t="shared" si="4">IF(OR($G29="",$H29="",$H29&lt;$G29),"",IF(AND(R$9&lt;=$H29,R$9+6&gt;=$G29),1,""))</x:f>
      </x:c>
      <x:c r="S29" s="12" t="str">
        <x:f t="shared" si="4">IF(OR($G29="",$H29="",$H29&lt;$G29),"",IF(AND(S$9&lt;=$H29,S$9+6&gt;=$G29),1,""))</x:f>
      </x:c>
      <x:c r="T29" s="13" t="n">
        <x:f t="shared" si="4">IF(OR($G29="",$H29="",$H29&lt;$G29),"",IF(AND(T$9&lt;=$H29,T$9+6&gt;=$G29),1,""))</x:f>
        <x:v>1</x:v>
      </x:c>
      <x:c r="U29" s="12" t="str">
        <x:f t="shared" si="5">IF(OR($G29="",$H29="",$H29&lt;$G29),"",IF(AND(U$9&lt;=$H29,U$9+6&gt;=$G29),1,""))</x:f>
      </x:c>
      <x:c r="V29" s="13" t="str">
        <x:f t="shared" si="5">IF(OR($G29="",$H29="",$H29&lt;$G29),"",IF(AND(V$9&lt;=$H29,V$9+6&gt;=$G29),1,""))</x:f>
      </x:c>
      <x:c r="W29" s="12" t="str">
        <x:f t="shared" si="5">IF(OR($G29="",$H29="",$H29&lt;$G29),"",IF(AND(W$9&lt;=$H29,W$9+6&gt;=$G29),1,""))</x:f>
      </x:c>
      <x:c r="X29" s="13" t="str">
        <x:f t="shared" si="5">IF(OR($G29="",$H29="",$H29&lt;$G29),"",IF(AND(X$9&lt;=$H29,X$9+6&gt;=$G29),1,""))</x:f>
      </x:c>
      <x:c r="Y29" s="12" t="str">
        <x:f t="shared" si="5">IF(OR($G29="",$H29="",$H29&lt;$G29),"",IF(AND(Y$9&lt;=$H29,Y$9+6&gt;=$G29),1,""))</x:f>
      </x:c>
      <x:c r="Z29" s="13" t="str">
        <x:f t="shared" si="5">IF(OR($G29="",$H29="",$H29&lt;$G29),"",IF(AND(Z$9&lt;=$H29,Z$9+6&gt;=$G29),1,""))</x:f>
      </x:c>
      <x:c r="AA29" s="12" t="str">
        <x:f t="shared" si="5">IF(OR($G29="",$H29="",$H29&lt;$G29),"",IF(AND(AA$9&lt;=$H29,AA$9+6&gt;=$G29),1,""))</x:f>
      </x:c>
      <x:c r="AB29" s="13" t="str">
        <x:f t="shared" si="5">IF(OR($G29="",$H29="",$H29&lt;$G29),"",IF(AND(AB$9&lt;=$H29,AB$9+6&gt;=$G29),1,""))</x:f>
      </x:c>
      <x:c r="AC29" s="12" t="str">
        <x:f t="shared" si="5">IF(OR($G29="",$H29="",$H29&lt;$G29),"",IF(AND(AC$9&lt;=$H29,AC$9+6&gt;=$G29),1,""))</x:f>
      </x:c>
      <x:c r="AD29" s="13" t="str">
        <x:f t="shared" si="5">IF(OR($G29="",$H29="",$H29&lt;$G29),"",IF(AND(AD$9&lt;=$H29,AD$9+6&gt;=$G29),1,""))</x:f>
      </x:c>
    </x:row>
    <x:row r="30" ht="23" customHeight="1">
      <x:c r="B30" s="5" t="str">
        <x:v>Đồ án 1B</x:v>
      </x:c>
      <x:c r="C30" s="49" t="str">
        <x:v>P11 Reference và test vectors</x:v>
      </x:c>
      <x:c r="D30" s="7" t="str">
        <x:v>Nguyễn Hải Minh</x:v>
      </x:c>
      <x:c r="E30" s="7" t="str">
        <x:v>Not Started</x:v>
      </x:c>
      <x:c r="F30" s="7" t="str">
        <x:v>P0</x:v>
      </x:c>
      <x:c r="G30" s="53" t="n">
        <x:f>IF(OR($H$6="",'Chi tiet HK1'!E28="",'Chi tiet HK1'!F28="",'Chi tiet HK1'!F28&lt;'Chi tiet HK1'!E28),"",IF('Chi tiet HK1'!D28="Mốc",$H$6+'Chi tiet HK1'!F28*7-1,$H$6+('Chi tiet HK1'!E28-1)*7))</x:f>
        <x:v>46370</x:v>
      </x:c>
      <x:c r="H30" s="53" t="n">
        <x:f>IF(OR($H$6="",'Chi tiet HK1'!E28="",'Chi tiet HK1'!F28="",'Chi tiet HK1'!F28&lt;'Chi tiet HK1'!E28),"",$H$6+'Chi tiet HK1'!F28*7-1)</x:f>
        <x:v>46376</x:v>
      </x:c>
      <x:c r="I30" s="55" t="n">
        <x:f t="shared" si="1">IF(OR(G30="",H30="",H30&lt;G30),"",H30-G30+1)</x:f>
        <x:v>7</x:v>
      </x:c>
      <x:c r="J30" s="15"/>
      <x:c r="K30" s="12" t="str">
        <x:f t="shared" ref="K30:T39" si="6">IF(OR($G30="",$H30="",$H30&lt;$G30),"",IF(AND(K$9&lt;=$H30,K$9+6&gt;=$G30),1,""))</x:f>
      </x:c>
      <x:c r="L30" s="13" t="str">
        <x:f t="shared" si="6">IF(OR($G30="",$H30="",$H30&lt;$G30),"",IF(AND(L$9&lt;=$H30,L$9+6&gt;=$G30),1,""))</x:f>
      </x:c>
      <x:c r="M30" s="12" t="str">
        <x:f t="shared" si="6">IF(OR($G30="",$H30="",$H30&lt;$G30),"",IF(AND(M$9&lt;=$H30,M$9+6&gt;=$G30),1,""))</x:f>
      </x:c>
      <x:c r="N30" s="13" t="str">
        <x:f t="shared" si="6">IF(OR($G30="",$H30="",$H30&lt;$G30),"",IF(AND(N$9&lt;=$H30,N$9+6&gt;=$G30),1,""))</x:f>
      </x:c>
      <x:c r="O30" s="12" t="str">
        <x:f t="shared" si="6">IF(OR($G30="",$H30="",$H30&lt;$G30),"",IF(AND(O$9&lt;=$H30,O$9+6&gt;=$G30),1,""))</x:f>
      </x:c>
      <x:c r="P30" s="13" t="str">
        <x:f t="shared" si="6">IF(OR($G30="",$H30="",$H30&lt;$G30),"",IF(AND(P$9&lt;=$H30,P$9+6&gt;=$G30),1,""))</x:f>
      </x:c>
      <x:c r="Q30" s="12" t="str">
        <x:f t="shared" si="6">IF(OR($G30="",$H30="",$H30&lt;$G30),"",IF(AND(Q$9&lt;=$H30,Q$9+6&gt;=$G30),1,""))</x:f>
      </x:c>
      <x:c r="R30" s="13" t="str">
        <x:f t="shared" si="6">IF(OR($G30="",$H30="",$H30&lt;$G30),"",IF(AND(R$9&lt;=$H30,R$9+6&gt;=$G30),1,""))</x:f>
      </x:c>
      <x:c r="S30" s="12" t="str">
        <x:f t="shared" si="6">IF(OR($G30="",$H30="",$H30&lt;$G30),"",IF(AND(S$9&lt;=$H30,S$9+6&gt;=$G30),1,""))</x:f>
      </x:c>
      <x:c r="T30" s="13" t="str">
        <x:f t="shared" si="6">IF(OR($G30="",$H30="",$H30&lt;$G30),"",IF(AND(T$9&lt;=$H30,T$9+6&gt;=$G30),1,""))</x:f>
      </x:c>
      <x:c r="U30" s="12" t="n">
        <x:f t="shared" ref="U30:AD39" si="7">IF(OR($G30="",$H30="",$H30&lt;$G30),"",IF(AND(U$9&lt;=$H30,U$9+6&gt;=$G30),1,""))</x:f>
        <x:v>1</x:v>
      </x:c>
      <x:c r="V30" s="13" t="str">
        <x:f t="shared" si="7">IF(OR($G30="",$H30="",$H30&lt;$G30),"",IF(AND(V$9&lt;=$H30,V$9+6&gt;=$G30),1,""))</x:f>
      </x:c>
      <x:c r="W30" s="12" t="str">
        <x:f t="shared" si="7">IF(OR($G30="",$H30="",$H30&lt;$G30),"",IF(AND(W$9&lt;=$H30,W$9+6&gt;=$G30),1,""))</x:f>
      </x:c>
      <x:c r="X30" s="13" t="str">
        <x:f t="shared" si="7">IF(OR($G30="",$H30="",$H30&lt;$G30),"",IF(AND(X$9&lt;=$H30,X$9+6&gt;=$G30),1,""))</x:f>
      </x:c>
      <x:c r="Y30" s="12" t="str">
        <x:f t="shared" si="7">IF(OR($G30="",$H30="",$H30&lt;$G30),"",IF(AND(Y$9&lt;=$H30,Y$9+6&gt;=$G30),1,""))</x:f>
      </x:c>
      <x:c r="Z30" s="13" t="str">
        <x:f t="shared" si="7">IF(OR($G30="",$H30="",$H30&lt;$G30),"",IF(AND(Z$9&lt;=$H30,Z$9+6&gt;=$G30),1,""))</x:f>
      </x:c>
      <x:c r="AA30" s="12" t="str">
        <x:f t="shared" si="7">IF(OR($G30="",$H30="",$H30&lt;$G30),"",IF(AND(AA$9&lt;=$H30,AA$9+6&gt;=$G30),1,""))</x:f>
      </x:c>
      <x:c r="AB30" s="13" t="str">
        <x:f t="shared" si="7">IF(OR($G30="",$H30="",$H30&lt;$G30),"",IF(AND(AB$9&lt;=$H30,AB$9+6&gt;=$G30),1,""))</x:f>
      </x:c>
      <x:c r="AC30" s="12" t="str">
        <x:f t="shared" si="7">IF(OR($G30="",$H30="",$H30&lt;$G30),"",IF(AND(AC$9&lt;=$H30,AC$9+6&gt;=$G30),1,""))</x:f>
      </x:c>
      <x:c r="AD30" s="13" t="str">
        <x:f t="shared" si="7">IF(OR($G30="",$H30="",$H30&lt;$G30),"",IF(AND(AD$9&lt;=$H30,AD$9+6&gt;=$G30),1,""))</x:f>
      </x:c>
    </x:row>
    <x:row r="31" ht="23" customHeight="1">
      <x:c r="B31" s="6" t="str">
        <x:v>Đồ án 1B</x:v>
      </x:c>
      <x:c r="C31" s="50" t="str">
        <x:v>P12 Dot-product trên baseline</x:v>
      </x:c>
      <x:c r="D31" s="8" t="str">
        <x:v>Nguyễn Hải Minh</x:v>
      </x:c>
      <x:c r="E31" s="8" t="str">
        <x:v>Not Started</x:v>
      </x:c>
      <x:c r="F31" s="8" t="str">
        <x:v>P0</x:v>
      </x:c>
      <x:c r="G31" s="54" t="n">
        <x:f>IF(OR($H$6="",'Chi tiet HK1'!E29="",'Chi tiet HK1'!F29="",'Chi tiet HK1'!F29&lt;'Chi tiet HK1'!E29),"",IF('Chi tiet HK1'!D29="Mốc",$H$6+'Chi tiet HK1'!F29*7-1,$H$6+('Chi tiet HK1'!E29-1)*7))</x:f>
        <x:v>46377</x:v>
      </x:c>
      <x:c r="H31" s="54" t="n">
        <x:f>IF(OR($H$6="",'Chi tiet HK1'!E29="",'Chi tiet HK1'!F29="",'Chi tiet HK1'!F29&lt;'Chi tiet HK1'!E29),"",$H$6+'Chi tiet HK1'!F29*7-1)</x:f>
        <x:v>46383</x:v>
      </x:c>
      <x:c r="I31" s="55" t="n">
        <x:f t="shared" si="1">IF(OR(G31="",H31="",H31&lt;G31),"",H31-G31+1)</x:f>
        <x:v>7</x:v>
      </x:c>
      <x:c r="J31" s="15"/>
      <x:c r="K31" s="12" t="str">
        <x:f t="shared" si="6">IF(OR($G31="",$H31="",$H31&lt;$G31),"",IF(AND(K$9&lt;=$H31,K$9+6&gt;=$G31),1,""))</x:f>
      </x:c>
      <x:c r="L31" s="13" t="str">
        <x:f t="shared" si="6">IF(OR($G31="",$H31="",$H31&lt;$G31),"",IF(AND(L$9&lt;=$H31,L$9+6&gt;=$G31),1,""))</x:f>
      </x:c>
      <x:c r="M31" s="12" t="str">
        <x:f t="shared" si="6">IF(OR($G31="",$H31="",$H31&lt;$G31),"",IF(AND(M$9&lt;=$H31,M$9+6&gt;=$G31),1,""))</x:f>
      </x:c>
      <x:c r="N31" s="13" t="str">
        <x:f t="shared" si="6">IF(OR($G31="",$H31="",$H31&lt;$G31),"",IF(AND(N$9&lt;=$H31,N$9+6&gt;=$G31),1,""))</x:f>
      </x:c>
      <x:c r="O31" s="12" t="str">
        <x:f t="shared" si="6">IF(OR($G31="",$H31="",$H31&lt;$G31),"",IF(AND(O$9&lt;=$H31,O$9+6&gt;=$G31),1,""))</x:f>
      </x:c>
      <x:c r="P31" s="13" t="str">
        <x:f t="shared" si="6">IF(OR($G31="",$H31="",$H31&lt;$G31),"",IF(AND(P$9&lt;=$H31,P$9+6&gt;=$G31),1,""))</x:f>
      </x:c>
      <x:c r="Q31" s="12" t="str">
        <x:f t="shared" si="6">IF(OR($G31="",$H31="",$H31&lt;$G31),"",IF(AND(Q$9&lt;=$H31,Q$9+6&gt;=$G31),1,""))</x:f>
      </x:c>
      <x:c r="R31" s="13" t="str">
        <x:f t="shared" si="6">IF(OR($G31="",$H31="",$H31&lt;$G31),"",IF(AND(R$9&lt;=$H31,R$9+6&gt;=$G31),1,""))</x:f>
      </x:c>
      <x:c r="S31" s="12" t="str">
        <x:f t="shared" si="6">IF(OR($G31="",$H31="",$H31&lt;$G31),"",IF(AND(S$9&lt;=$H31,S$9+6&gt;=$G31),1,""))</x:f>
      </x:c>
      <x:c r="T31" s="13" t="str">
        <x:f t="shared" si="6">IF(OR($G31="",$H31="",$H31&lt;$G31),"",IF(AND(T$9&lt;=$H31,T$9+6&gt;=$G31),1,""))</x:f>
      </x:c>
      <x:c r="U31" s="12" t="str">
        <x:f t="shared" si="7">IF(OR($G31="",$H31="",$H31&lt;$G31),"",IF(AND(U$9&lt;=$H31,U$9+6&gt;=$G31),1,""))</x:f>
      </x:c>
      <x:c r="V31" s="13" t="n">
        <x:f t="shared" si="7">IF(OR($G31="",$H31="",$H31&lt;$G31),"",IF(AND(V$9&lt;=$H31,V$9+6&gt;=$G31),1,""))</x:f>
        <x:v>1</x:v>
      </x:c>
      <x:c r="W31" s="12" t="str">
        <x:f t="shared" si="7">IF(OR($G31="",$H31="",$H31&lt;$G31),"",IF(AND(W$9&lt;=$H31,W$9+6&gt;=$G31),1,""))</x:f>
      </x:c>
      <x:c r="X31" s="13" t="str">
        <x:f t="shared" si="7">IF(OR($G31="",$H31="",$H31&lt;$G31),"",IF(AND(X$9&lt;=$H31,X$9+6&gt;=$G31),1,""))</x:f>
      </x:c>
      <x:c r="Y31" s="12" t="str">
        <x:f t="shared" si="7">IF(OR($G31="",$H31="",$H31&lt;$G31),"",IF(AND(Y$9&lt;=$H31,Y$9+6&gt;=$G31),1,""))</x:f>
      </x:c>
      <x:c r="Z31" s="13" t="str">
        <x:f t="shared" si="7">IF(OR($G31="",$H31="",$H31&lt;$G31),"",IF(AND(Z$9&lt;=$H31,Z$9+6&gt;=$G31),1,""))</x:f>
      </x:c>
      <x:c r="AA31" s="12" t="str">
        <x:f t="shared" si="7">IF(OR($G31="",$H31="",$H31&lt;$G31),"",IF(AND(AA$9&lt;=$H31,AA$9+6&gt;=$G31),1,""))</x:f>
      </x:c>
      <x:c r="AB31" s="13" t="str">
        <x:f t="shared" si="7">IF(OR($G31="",$H31="",$H31&lt;$G31),"",IF(AND(AB$9&lt;=$H31,AB$9+6&gt;=$G31),1,""))</x:f>
      </x:c>
      <x:c r="AC31" s="12" t="str">
        <x:f t="shared" si="7">IF(OR($G31="",$H31="",$H31&lt;$G31),"",IF(AND(AC$9&lt;=$H31,AC$9+6&gt;=$G31),1,""))</x:f>
      </x:c>
      <x:c r="AD31" s="13" t="str">
        <x:f t="shared" si="7">IF(OR($G31="",$H31="",$H31&lt;$G31),"",IF(AND(AD$9&lt;=$H31,AD$9+6&gt;=$G31),1,""))</x:f>
      </x:c>
    </x:row>
    <x:row r="32" ht="23" customHeight="1">
      <x:c r="B32" s="5" t="str">
        <x:v>Đồ án 1B</x:v>
      </x:c>
      <x:c r="C32" s="49" t="str">
        <x:v>P13 Complex multiply baseline</x:v>
      </x:c>
      <x:c r="D32" s="7" t="str">
        <x:v>Nguyễn Hải Minh</x:v>
      </x:c>
      <x:c r="E32" s="7" t="str">
        <x:v>Not Started</x:v>
      </x:c>
      <x:c r="F32" s="7" t="str">
        <x:v>P0</x:v>
      </x:c>
      <x:c r="G32" s="53" t="n">
        <x:f>IF(OR($H$6="",'Chi tiet HK1'!E30="",'Chi tiet HK1'!F30="",'Chi tiet HK1'!F30&lt;'Chi tiet HK1'!E30),"",IF('Chi tiet HK1'!D30="Mốc",$H$6+'Chi tiet HK1'!F30*7-1,$H$6+('Chi tiet HK1'!E30-1)*7))</x:f>
        <x:v>46384</x:v>
      </x:c>
      <x:c r="H32" s="53" t="n">
        <x:f>IF(OR($H$6="",'Chi tiet HK1'!E30="",'Chi tiet HK1'!F30="",'Chi tiet HK1'!F30&lt;'Chi tiet HK1'!E30),"",$H$6+'Chi tiet HK1'!F30*7-1)</x:f>
        <x:v>46390</x:v>
      </x:c>
      <x:c r="I32" s="55" t="n">
        <x:f t="shared" si="1">IF(OR(G32="",H32="",H32&lt;G32),"",H32-G32+1)</x:f>
        <x:v>7</x:v>
      </x:c>
      <x:c r="J32" s="15"/>
      <x:c r="K32" s="12" t="str">
        <x:f t="shared" si="6">IF(OR($G32="",$H32="",$H32&lt;$G32),"",IF(AND(K$9&lt;=$H32,K$9+6&gt;=$G32),1,""))</x:f>
      </x:c>
      <x:c r="L32" s="13" t="str">
        <x:f t="shared" si="6">IF(OR($G32="",$H32="",$H32&lt;$G32),"",IF(AND(L$9&lt;=$H32,L$9+6&gt;=$G32),1,""))</x:f>
      </x:c>
      <x:c r="M32" s="12" t="str">
        <x:f t="shared" si="6">IF(OR($G32="",$H32="",$H32&lt;$G32),"",IF(AND(M$9&lt;=$H32,M$9+6&gt;=$G32),1,""))</x:f>
      </x:c>
      <x:c r="N32" s="13" t="str">
        <x:f t="shared" si="6">IF(OR($G32="",$H32="",$H32&lt;$G32),"",IF(AND(N$9&lt;=$H32,N$9+6&gt;=$G32),1,""))</x:f>
      </x:c>
      <x:c r="O32" s="12" t="str">
        <x:f t="shared" si="6">IF(OR($G32="",$H32="",$H32&lt;$G32),"",IF(AND(O$9&lt;=$H32,O$9+6&gt;=$G32),1,""))</x:f>
      </x:c>
      <x:c r="P32" s="13" t="str">
        <x:f t="shared" si="6">IF(OR($G32="",$H32="",$H32&lt;$G32),"",IF(AND(P$9&lt;=$H32,P$9+6&gt;=$G32),1,""))</x:f>
      </x:c>
      <x:c r="Q32" s="12" t="str">
        <x:f t="shared" si="6">IF(OR($G32="",$H32="",$H32&lt;$G32),"",IF(AND(Q$9&lt;=$H32,Q$9+6&gt;=$G32),1,""))</x:f>
      </x:c>
      <x:c r="R32" s="13" t="str">
        <x:f t="shared" si="6">IF(OR($G32="",$H32="",$H32&lt;$G32),"",IF(AND(R$9&lt;=$H32,R$9+6&gt;=$G32),1,""))</x:f>
      </x:c>
      <x:c r="S32" s="12" t="str">
        <x:f t="shared" si="6">IF(OR($G32="",$H32="",$H32&lt;$G32),"",IF(AND(S$9&lt;=$H32,S$9+6&gt;=$G32),1,""))</x:f>
      </x:c>
      <x:c r="T32" s="13" t="str">
        <x:f t="shared" si="6">IF(OR($G32="",$H32="",$H32&lt;$G32),"",IF(AND(T$9&lt;=$H32,T$9+6&gt;=$G32),1,""))</x:f>
      </x:c>
      <x:c r="U32" s="12" t="str">
        <x:f t="shared" si="7">IF(OR($G32="",$H32="",$H32&lt;$G32),"",IF(AND(U$9&lt;=$H32,U$9+6&gt;=$G32),1,""))</x:f>
      </x:c>
      <x:c r="V32" s="13" t="str">
        <x:f t="shared" si="7">IF(OR($G32="",$H32="",$H32&lt;$G32),"",IF(AND(V$9&lt;=$H32,V$9+6&gt;=$G32),1,""))</x:f>
      </x:c>
      <x:c r="W32" s="12" t="n">
        <x:f t="shared" si="7">IF(OR($G32="",$H32="",$H32&lt;$G32),"",IF(AND(W$9&lt;=$H32,W$9+6&gt;=$G32),1,""))</x:f>
        <x:v>1</x:v>
      </x:c>
      <x:c r="X32" s="13" t="str">
        <x:f t="shared" si="7">IF(OR($G32="",$H32="",$H32&lt;$G32),"",IF(AND(X$9&lt;=$H32,X$9+6&gt;=$G32),1,""))</x:f>
      </x:c>
      <x:c r="Y32" s="12" t="str">
        <x:f t="shared" si="7">IF(OR($G32="",$H32="",$H32&lt;$G32),"",IF(AND(Y$9&lt;=$H32,Y$9+6&gt;=$G32),1,""))</x:f>
      </x:c>
      <x:c r="Z32" s="13" t="str">
        <x:f t="shared" si="7">IF(OR($G32="",$H32="",$H32&lt;$G32),"",IF(AND(Z$9&lt;=$H32,Z$9+6&gt;=$G32),1,""))</x:f>
      </x:c>
      <x:c r="AA32" s="12" t="str">
        <x:f t="shared" si="7">IF(OR($G32="",$H32="",$H32&lt;$G32),"",IF(AND(AA$9&lt;=$H32,AA$9+6&gt;=$G32),1,""))</x:f>
      </x:c>
      <x:c r="AB32" s="13" t="str">
        <x:f t="shared" si="7">IF(OR($G32="",$H32="",$H32&lt;$G32),"",IF(AND(AB$9&lt;=$H32,AB$9+6&gt;=$G32),1,""))</x:f>
      </x:c>
      <x:c r="AC32" s="12" t="str">
        <x:f t="shared" si="7">IF(OR($G32="",$H32="",$H32&lt;$G32),"",IF(AND(AC$9&lt;=$H32,AC$9+6&gt;=$G32),1,""))</x:f>
      </x:c>
      <x:c r="AD32" s="13" t="str">
        <x:f t="shared" si="7">IF(OR($G32="",$H32="",$H32&lt;$G32),"",IF(AND(AD$9&lt;=$H32,AD$9+6&gt;=$G32),1,""))</x:f>
      </x:c>
    </x:row>
    <x:row r="33" ht="23" customHeight="1">
      <x:c r="B33" s="6" t="str">
        <x:v>Đồ án 1B</x:v>
      </x:c>
      <x:c r="C33" s="50" t="str">
        <x:v>P14 Profiling và đọc báo sâu</x:v>
      </x:c>
      <x:c r="D33" s="8" t="str">
        <x:v>Nguyễn Hải Minh</x:v>
      </x:c>
      <x:c r="E33" s="8" t="str">
        <x:v>Not Started</x:v>
      </x:c>
      <x:c r="F33" s="8" t="str">
        <x:v>P1</x:v>
      </x:c>
      <x:c r="G33" s="54" t="n">
        <x:f>IF(OR($H$6="",'Chi tiet HK1'!E31="",'Chi tiet HK1'!F31="",'Chi tiet HK1'!F31&lt;'Chi tiet HK1'!E31),"",IF('Chi tiet HK1'!D31="Mốc",$H$6+'Chi tiet HK1'!F31*7-1,$H$6+('Chi tiet HK1'!E31-1)*7))</x:f>
        <x:v>46391</x:v>
      </x:c>
      <x:c r="H33" s="54" t="n">
        <x:f>IF(OR($H$6="",'Chi tiet HK1'!E31="",'Chi tiet HK1'!F31="",'Chi tiet HK1'!F31&lt;'Chi tiet HK1'!E31),"",$H$6+'Chi tiet HK1'!F31*7-1)</x:f>
        <x:v>46397</x:v>
      </x:c>
      <x:c r="I33" s="55" t="n">
        <x:f t="shared" si="1">IF(OR(G33="",H33="",H33&lt;G33),"",H33-G33+1)</x:f>
        <x:v>7</x:v>
      </x:c>
      <x:c r="J33" s="15"/>
      <x:c r="K33" s="12" t="str">
        <x:f t="shared" si="6">IF(OR($G33="",$H33="",$H33&lt;$G33),"",IF(AND(K$9&lt;=$H33,K$9+6&gt;=$G33),1,""))</x:f>
      </x:c>
      <x:c r="L33" s="13" t="str">
        <x:f t="shared" si="6">IF(OR($G33="",$H33="",$H33&lt;$G33),"",IF(AND(L$9&lt;=$H33,L$9+6&gt;=$G33),1,""))</x:f>
      </x:c>
      <x:c r="M33" s="12" t="str">
        <x:f t="shared" si="6">IF(OR($G33="",$H33="",$H33&lt;$G33),"",IF(AND(M$9&lt;=$H33,M$9+6&gt;=$G33),1,""))</x:f>
      </x:c>
      <x:c r="N33" s="13" t="str">
        <x:f t="shared" si="6">IF(OR($G33="",$H33="",$H33&lt;$G33),"",IF(AND(N$9&lt;=$H33,N$9+6&gt;=$G33),1,""))</x:f>
      </x:c>
      <x:c r="O33" s="12" t="str">
        <x:f t="shared" si="6">IF(OR($G33="",$H33="",$H33&lt;$G33),"",IF(AND(O$9&lt;=$H33,O$9+6&gt;=$G33),1,""))</x:f>
      </x:c>
      <x:c r="P33" s="13" t="str">
        <x:f t="shared" si="6">IF(OR($G33="",$H33="",$H33&lt;$G33),"",IF(AND(P$9&lt;=$H33,P$9+6&gt;=$G33),1,""))</x:f>
      </x:c>
      <x:c r="Q33" s="12" t="str">
        <x:f t="shared" si="6">IF(OR($G33="",$H33="",$H33&lt;$G33),"",IF(AND(Q$9&lt;=$H33,Q$9+6&gt;=$G33),1,""))</x:f>
      </x:c>
      <x:c r="R33" s="13" t="str">
        <x:f t="shared" si="6">IF(OR($G33="",$H33="",$H33&lt;$G33),"",IF(AND(R$9&lt;=$H33,R$9+6&gt;=$G33),1,""))</x:f>
      </x:c>
      <x:c r="S33" s="12" t="str">
        <x:f t="shared" si="6">IF(OR($G33="",$H33="",$H33&lt;$G33),"",IF(AND(S$9&lt;=$H33,S$9+6&gt;=$G33),1,""))</x:f>
      </x:c>
      <x:c r="T33" s="13" t="str">
        <x:f t="shared" si="6">IF(OR($G33="",$H33="",$H33&lt;$G33),"",IF(AND(T$9&lt;=$H33,T$9+6&gt;=$G33),1,""))</x:f>
      </x:c>
      <x:c r="U33" s="12" t="str">
        <x:f t="shared" si="7">IF(OR($G33="",$H33="",$H33&lt;$G33),"",IF(AND(U$9&lt;=$H33,U$9+6&gt;=$G33),1,""))</x:f>
      </x:c>
      <x:c r="V33" s="13" t="str">
        <x:f t="shared" si="7">IF(OR($G33="",$H33="",$H33&lt;$G33),"",IF(AND(V$9&lt;=$H33,V$9+6&gt;=$G33),1,""))</x:f>
      </x:c>
      <x:c r="W33" s="12" t="str">
        <x:f t="shared" si="7">IF(OR($G33="",$H33="",$H33&lt;$G33),"",IF(AND(W$9&lt;=$H33,W$9+6&gt;=$G33),1,""))</x:f>
      </x:c>
      <x:c r="X33" s="13" t="n">
        <x:f t="shared" si="7">IF(OR($G33="",$H33="",$H33&lt;$G33),"",IF(AND(X$9&lt;=$H33,X$9+6&gt;=$G33),1,""))</x:f>
        <x:v>1</x:v>
      </x:c>
      <x:c r="Y33" s="12" t="str">
        <x:f t="shared" si="7">IF(OR($G33="",$H33="",$H33&lt;$G33),"",IF(AND(Y$9&lt;=$H33,Y$9+6&gt;=$G33),1,""))</x:f>
      </x:c>
      <x:c r="Z33" s="13" t="str">
        <x:f t="shared" si="7">IF(OR($G33="",$H33="",$H33&lt;$G33),"",IF(AND(Z$9&lt;=$H33,Z$9+6&gt;=$G33),1,""))</x:f>
      </x:c>
      <x:c r="AA33" s="12" t="str">
        <x:f t="shared" si="7">IF(OR($G33="",$H33="",$H33&lt;$G33),"",IF(AND(AA$9&lt;=$H33,AA$9+6&gt;=$G33),1,""))</x:f>
      </x:c>
      <x:c r="AB33" s="13" t="str">
        <x:f t="shared" si="7">IF(OR($G33="",$H33="",$H33&lt;$G33),"",IF(AND(AB$9&lt;=$H33,AB$9+6&gt;=$G33),1,""))</x:f>
      </x:c>
      <x:c r="AC33" s="12" t="str">
        <x:f t="shared" si="7">IF(OR($G33="",$H33="",$H33&lt;$G33),"",IF(AND(AC$9&lt;=$H33,AC$9+6&gt;=$G33),1,""))</x:f>
      </x:c>
      <x:c r="AD33" s="13" t="str">
        <x:f t="shared" si="7">IF(OR($G33="",$H33="",$H33&lt;$G33),"",IF(AND(AD$9&lt;=$H33,AD$9+6&gt;=$G33),1,""))</x:f>
      </x:c>
    </x:row>
    <x:row r="34" ht="23" customHeight="1">
      <x:c r="B34" s="5" t="str">
        <x:v>Đồ án 1B</x:v>
      </x:c>
      <x:c r="C34" s="49" t="str">
        <x:v>P15 Phác thảo custom instruction</x:v>
      </x:c>
      <x:c r="D34" s="7" t="str">
        <x:v>Nguyễn Hải Minh</x:v>
      </x:c>
      <x:c r="E34" s="7" t="str">
        <x:v>Not Started</x:v>
      </x:c>
      <x:c r="F34" s="7" t="str">
        <x:v>P1</x:v>
      </x:c>
      <x:c r="G34" s="53" t="n">
        <x:f>IF(OR($H$6="",'Chi tiet HK1'!E32="",'Chi tiet HK1'!F32="",'Chi tiet HK1'!F32&lt;'Chi tiet HK1'!E32),"",IF('Chi tiet HK1'!D32="Mốc",$H$6+'Chi tiet HK1'!F32*7-1,$H$6+('Chi tiet HK1'!E32-1)*7))</x:f>
        <x:v>46398</x:v>
      </x:c>
      <x:c r="H34" s="53" t="n">
        <x:f>IF(OR($H$6="",'Chi tiet HK1'!E32="",'Chi tiet HK1'!F32="",'Chi tiet HK1'!F32&lt;'Chi tiet HK1'!E32),"",$H$6+'Chi tiet HK1'!F32*7-1)</x:f>
        <x:v>46404</x:v>
      </x:c>
      <x:c r="I34" s="55" t="n">
        <x:f t="shared" si="1">IF(OR(G34="",H34="",H34&lt;G34),"",H34-G34+1)</x:f>
        <x:v>7</x:v>
      </x:c>
      <x:c r="J34" s="15"/>
      <x:c r="K34" s="12" t="str">
        <x:f t="shared" si="6">IF(OR($G34="",$H34="",$H34&lt;$G34),"",IF(AND(K$9&lt;=$H34,K$9+6&gt;=$G34),1,""))</x:f>
      </x:c>
      <x:c r="L34" s="13" t="str">
        <x:f t="shared" si="6">IF(OR($G34="",$H34="",$H34&lt;$G34),"",IF(AND(L$9&lt;=$H34,L$9+6&gt;=$G34),1,""))</x:f>
      </x:c>
      <x:c r="M34" s="12" t="str">
        <x:f t="shared" si="6">IF(OR($G34="",$H34="",$H34&lt;$G34),"",IF(AND(M$9&lt;=$H34,M$9+6&gt;=$G34),1,""))</x:f>
      </x:c>
      <x:c r="N34" s="13" t="str">
        <x:f t="shared" si="6">IF(OR($G34="",$H34="",$H34&lt;$G34),"",IF(AND(N$9&lt;=$H34,N$9+6&gt;=$G34),1,""))</x:f>
      </x:c>
      <x:c r="O34" s="12" t="str">
        <x:f t="shared" si="6">IF(OR($G34="",$H34="",$H34&lt;$G34),"",IF(AND(O$9&lt;=$H34,O$9+6&gt;=$G34),1,""))</x:f>
      </x:c>
      <x:c r="P34" s="13" t="str">
        <x:f t="shared" si="6">IF(OR($G34="",$H34="",$H34&lt;$G34),"",IF(AND(P$9&lt;=$H34,P$9+6&gt;=$G34),1,""))</x:f>
      </x:c>
      <x:c r="Q34" s="12" t="str">
        <x:f t="shared" si="6">IF(OR($G34="",$H34="",$H34&lt;$G34),"",IF(AND(Q$9&lt;=$H34,Q$9+6&gt;=$G34),1,""))</x:f>
      </x:c>
      <x:c r="R34" s="13" t="str">
        <x:f t="shared" si="6">IF(OR($G34="",$H34="",$H34&lt;$G34),"",IF(AND(R$9&lt;=$H34,R$9+6&gt;=$G34),1,""))</x:f>
      </x:c>
      <x:c r="S34" s="12" t="str">
        <x:f t="shared" si="6">IF(OR($G34="",$H34="",$H34&lt;$G34),"",IF(AND(S$9&lt;=$H34,S$9+6&gt;=$G34),1,""))</x:f>
      </x:c>
      <x:c r="T34" s="13" t="str">
        <x:f t="shared" si="6">IF(OR($G34="",$H34="",$H34&lt;$G34),"",IF(AND(T$9&lt;=$H34,T$9+6&gt;=$G34),1,""))</x:f>
      </x:c>
      <x:c r="U34" s="12" t="str">
        <x:f t="shared" si="7">IF(OR($G34="",$H34="",$H34&lt;$G34),"",IF(AND(U$9&lt;=$H34,U$9+6&gt;=$G34),1,""))</x:f>
      </x:c>
      <x:c r="V34" s="13" t="str">
        <x:f t="shared" si="7">IF(OR($G34="",$H34="",$H34&lt;$G34),"",IF(AND(V$9&lt;=$H34,V$9+6&gt;=$G34),1,""))</x:f>
      </x:c>
      <x:c r="W34" s="12" t="str">
        <x:f t="shared" si="7">IF(OR($G34="",$H34="",$H34&lt;$G34),"",IF(AND(W$9&lt;=$H34,W$9+6&gt;=$G34),1,""))</x:f>
      </x:c>
      <x:c r="X34" s="13" t="str">
        <x:f t="shared" si="7">IF(OR($G34="",$H34="",$H34&lt;$G34),"",IF(AND(X$9&lt;=$H34,X$9+6&gt;=$G34),1,""))</x:f>
      </x:c>
      <x:c r="Y34" s="12" t="n">
        <x:f t="shared" si="7">IF(OR($G34="",$H34="",$H34&lt;$G34),"",IF(AND(Y$9&lt;=$H34,Y$9+6&gt;=$G34),1,""))</x:f>
        <x:v>1</x:v>
      </x:c>
      <x:c r="Z34" s="13" t="str">
        <x:f t="shared" si="7">IF(OR($G34="",$H34="",$H34&lt;$G34),"",IF(AND(Z$9&lt;=$H34,Z$9+6&gt;=$G34),1,""))</x:f>
      </x:c>
      <x:c r="AA34" s="12" t="str">
        <x:f t="shared" si="7">IF(OR($G34="",$H34="",$H34&lt;$G34),"",IF(AND(AA$9&lt;=$H34,AA$9+6&gt;=$G34),1,""))</x:f>
      </x:c>
      <x:c r="AB34" s="13" t="str">
        <x:f t="shared" si="7">IF(OR($G34="",$H34="",$H34&lt;$G34),"",IF(AND(AB$9&lt;=$H34,AB$9+6&gt;=$G34),1,""))</x:f>
      </x:c>
      <x:c r="AC34" s="12" t="str">
        <x:f t="shared" si="7">IF(OR($G34="",$H34="",$H34&lt;$G34),"",IF(AND(AC$9&lt;=$H34,AC$9+6&gt;=$G34),1,""))</x:f>
      </x:c>
      <x:c r="AD34" s="13" t="str">
        <x:f t="shared" si="7">IF(OR($G34="",$H34="",$H34&lt;$G34),"",IF(AND(AD$9&lt;=$H34,AD$9+6&gt;=$G34),1,""))</x:f>
      </x:c>
    </x:row>
    <x:row r="35" ht="23" customHeight="1">
      <x:c r="B35" s="6" t="str">
        <x:v>Đồ án 1B</x:v>
      </x:c>
      <x:c r="C35" s="50" t="str">
        <x:v>P16 Tổng kết và kế hoạch HK2</x:v>
      </x:c>
      <x:c r="D35" s="8" t="str">
        <x:v>Nguyễn Hải Minh</x:v>
      </x:c>
      <x:c r="E35" s="8" t="str">
        <x:v>Not Started</x:v>
      </x:c>
      <x:c r="F35" s="8" t="str">
        <x:v>P0</x:v>
      </x:c>
      <x:c r="G35" s="54" t="n">
        <x:f>IF(OR($H$6="",'Chi tiet HK1'!E33="",'Chi tiet HK1'!F33="",'Chi tiet HK1'!F33&lt;'Chi tiet HK1'!E33),"",IF('Chi tiet HK1'!D33="Mốc",$H$6+'Chi tiet HK1'!F33*7-1,$H$6+('Chi tiet HK1'!E33-1)*7))</x:f>
        <x:v>46405</x:v>
      </x:c>
      <x:c r="H35" s="54" t="n">
        <x:f>IF(OR($H$6="",'Chi tiet HK1'!E33="",'Chi tiet HK1'!F33="",'Chi tiet HK1'!F33&lt;'Chi tiet HK1'!E33),"",$H$6+'Chi tiet HK1'!F33*7-1)</x:f>
        <x:v>46411</x:v>
      </x:c>
      <x:c r="I35" s="55" t="n">
        <x:f t="shared" si="1">IF(OR(G35="",H35="",H35&lt;G35),"",H35-G35+1)</x:f>
        <x:v>7</x:v>
      </x:c>
      <x:c r="J35" s="15"/>
      <x:c r="K35" s="12" t="str">
        <x:f t="shared" si="6">IF(OR($G35="",$H35="",$H35&lt;$G35),"",IF(AND(K$9&lt;=$H35,K$9+6&gt;=$G35),1,""))</x:f>
      </x:c>
      <x:c r="L35" s="13" t="str">
        <x:f t="shared" si="6">IF(OR($G35="",$H35="",$H35&lt;$G35),"",IF(AND(L$9&lt;=$H35,L$9+6&gt;=$G35),1,""))</x:f>
      </x:c>
      <x:c r="M35" s="12" t="str">
        <x:f t="shared" si="6">IF(OR($G35="",$H35="",$H35&lt;$G35),"",IF(AND(M$9&lt;=$H35,M$9+6&gt;=$G35),1,""))</x:f>
      </x:c>
      <x:c r="N35" s="13" t="str">
        <x:f t="shared" si="6">IF(OR($G35="",$H35="",$H35&lt;$G35),"",IF(AND(N$9&lt;=$H35,N$9+6&gt;=$G35),1,""))</x:f>
      </x:c>
      <x:c r="O35" s="12" t="str">
        <x:f t="shared" si="6">IF(OR($G35="",$H35="",$H35&lt;$G35),"",IF(AND(O$9&lt;=$H35,O$9+6&gt;=$G35),1,""))</x:f>
      </x:c>
      <x:c r="P35" s="13" t="str">
        <x:f t="shared" si="6">IF(OR($G35="",$H35="",$H35&lt;$G35),"",IF(AND(P$9&lt;=$H35,P$9+6&gt;=$G35),1,""))</x:f>
      </x:c>
      <x:c r="Q35" s="12" t="str">
        <x:f t="shared" si="6">IF(OR($G35="",$H35="",$H35&lt;$G35),"",IF(AND(Q$9&lt;=$H35,Q$9+6&gt;=$G35),1,""))</x:f>
      </x:c>
      <x:c r="R35" s="13" t="str">
        <x:f t="shared" si="6">IF(OR($G35="",$H35="",$H35&lt;$G35),"",IF(AND(R$9&lt;=$H35,R$9+6&gt;=$G35),1,""))</x:f>
      </x:c>
      <x:c r="S35" s="12" t="str">
        <x:f t="shared" si="6">IF(OR($G35="",$H35="",$H35&lt;$G35),"",IF(AND(S$9&lt;=$H35,S$9+6&gt;=$G35),1,""))</x:f>
      </x:c>
      <x:c r="T35" s="13" t="str">
        <x:f t="shared" si="6">IF(OR($G35="",$H35="",$H35&lt;$G35),"",IF(AND(T$9&lt;=$H35,T$9+6&gt;=$G35),1,""))</x:f>
      </x:c>
      <x:c r="U35" s="12" t="str">
        <x:f t="shared" si="7">IF(OR($G35="",$H35="",$H35&lt;$G35),"",IF(AND(U$9&lt;=$H35,U$9+6&gt;=$G35),1,""))</x:f>
      </x:c>
      <x:c r="V35" s="13" t="str">
        <x:f t="shared" si="7">IF(OR($G35="",$H35="",$H35&lt;$G35),"",IF(AND(V$9&lt;=$H35,V$9+6&gt;=$G35),1,""))</x:f>
      </x:c>
      <x:c r="W35" s="12" t="str">
        <x:f t="shared" si="7">IF(OR($G35="",$H35="",$H35&lt;$G35),"",IF(AND(W$9&lt;=$H35,W$9+6&gt;=$G35),1,""))</x:f>
      </x:c>
      <x:c r="X35" s="13" t="str">
        <x:f t="shared" si="7">IF(OR($G35="",$H35="",$H35&lt;$G35),"",IF(AND(X$9&lt;=$H35,X$9+6&gt;=$G35),1,""))</x:f>
      </x:c>
      <x:c r="Y35" s="12" t="str">
        <x:f t="shared" si="7">IF(OR($G35="",$H35="",$H35&lt;$G35),"",IF(AND(Y$9&lt;=$H35,Y$9+6&gt;=$G35),1,""))</x:f>
      </x:c>
      <x:c r="Z35" s="13" t="n">
        <x:f t="shared" si="7">IF(OR($G35="",$H35="",$H35&lt;$G35),"",IF(AND(Z$9&lt;=$H35,Z$9+6&gt;=$G35),1,""))</x:f>
        <x:v>1</x:v>
      </x:c>
      <x:c r="AA35" s="12" t="str">
        <x:f t="shared" si="7">IF(OR($G35="",$H35="",$H35&lt;$G35),"",IF(AND(AA$9&lt;=$H35,AA$9+6&gt;=$G35),1,""))</x:f>
      </x:c>
      <x:c r="AB35" s="13" t="str">
        <x:f t="shared" si="7">IF(OR($G35="",$H35="",$H35&lt;$G35),"",IF(AND(AB$9&lt;=$H35,AB$9+6&gt;=$G35),1,""))</x:f>
      </x:c>
      <x:c r="AC35" s="12" t="str">
        <x:f t="shared" si="7">IF(OR($G35="",$H35="",$H35&lt;$G35),"",IF(AND(AC$9&lt;=$H35,AC$9+6&gt;=$G35),1,""))</x:f>
      </x:c>
      <x:c r="AD35" s="13" t="str">
        <x:f t="shared" si="7">IF(OR($G35="",$H35="",$H35&lt;$G35),"",IF(AND(AD$9&lt;=$H35,AD$9+6&gt;=$G35),1,""))</x:f>
      </x:c>
    </x:row>
    <x:row r="36" ht="23" customHeight="1">
      <x:c r="B36" s="5" t="str">
        <x:v>Mốc 1A</x:v>
      </x:c>
      <x:c r="C36" s="49" t="str">
        <x:v>M01 Mốc tuần 4: nền tảng</x:v>
      </x:c>
      <x:c r="D36" s="7" t="str">
        <x:v>Nguyễn Hải Minh</x:v>
      </x:c>
      <x:c r="E36" s="7" t="str">
        <x:v>Not Started</x:v>
      </x:c>
      <x:c r="F36" s="7" t="str">
        <x:v>P0</x:v>
      </x:c>
      <x:c r="G36" s="53" t="n">
        <x:f>IF(OR($H$6="",'Chi tiet HK1'!E34="",'Chi tiet HK1'!F34="",'Chi tiet HK1'!F34&lt;'Chi tiet HK1'!E34),"",IF('Chi tiet HK1'!D34="Mốc",$H$6+'Chi tiet HK1'!F34*7-1,$H$6+('Chi tiet HK1'!E34-1)*7))</x:f>
        <x:v>46327</x:v>
      </x:c>
      <x:c r="H36" s="53" t="n">
        <x:f>IF(OR($H$6="",'Chi tiet HK1'!E34="",'Chi tiet HK1'!F34="",'Chi tiet HK1'!F34&lt;'Chi tiet HK1'!E34),"",$H$6+'Chi tiet HK1'!F34*7-1)</x:f>
        <x:v>46327</x:v>
      </x:c>
      <x:c r="I36" s="55" t="n">
        <x:f t="shared" si="1">IF(OR(G36="",H36="",H36&lt;G36),"",H36-G36+1)</x:f>
        <x:v>1</x:v>
      </x:c>
      <x:c r="J36" s="15"/>
      <x:c r="K36" s="12" t="str">
        <x:f t="shared" si="6">IF(OR($G36="",$H36="",$H36&lt;$G36),"",IF(AND(K$9&lt;=$H36,K$9+6&gt;=$G36),1,""))</x:f>
      </x:c>
      <x:c r="L36" s="13" t="str">
        <x:f t="shared" si="6">IF(OR($G36="",$H36="",$H36&lt;$G36),"",IF(AND(L$9&lt;=$H36,L$9+6&gt;=$G36),1,""))</x:f>
      </x:c>
      <x:c r="M36" s="12" t="str">
        <x:f t="shared" si="6">IF(OR($G36="",$H36="",$H36&lt;$G36),"",IF(AND(M$9&lt;=$H36,M$9+6&gt;=$G36),1,""))</x:f>
      </x:c>
      <x:c r="N36" s="13" t="n">
        <x:f t="shared" si="6">IF(OR($G36="",$H36="",$H36&lt;$G36),"",IF(AND(N$9&lt;=$H36,N$9+6&gt;=$G36),1,""))</x:f>
        <x:v>1</x:v>
      </x:c>
      <x:c r="O36" s="12" t="str">
        <x:f t="shared" si="6">IF(OR($G36="",$H36="",$H36&lt;$G36),"",IF(AND(O$9&lt;=$H36,O$9+6&gt;=$G36),1,""))</x:f>
      </x:c>
      <x:c r="P36" s="13" t="str">
        <x:f t="shared" si="6">IF(OR($G36="",$H36="",$H36&lt;$G36),"",IF(AND(P$9&lt;=$H36,P$9+6&gt;=$G36),1,""))</x:f>
      </x:c>
      <x:c r="Q36" s="12" t="str">
        <x:f t="shared" si="6">IF(OR($G36="",$H36="",$H36&lt;$G36),"",IF(AND(Q$9&lt;=$H36,Q$9+6&gt;=$G36),1,""))</x:f>
      </x:c>
      <x:c r="R36" s="13" t="str">
        <x:f t="shared" si="6">IF(OR($G36="",$H36="",$H36&lt;$G36),"",IF(AND(R$9&lt;=$H36,R$9+6&gt;=$G36),1,""))</x:f>
      </x:c>
      <x:c r="S36" s="12" t="str">
        <x:f t="shared" si="6">IF(OR($G36="",$H36="",$H36&lt;$G36),"",IF(AND(S$9&lt;=$H36,S$9+6&gt;=$G36),1,""))</x:f>
      </x:c>
      <x:c r="T36" s="13" t="str">
        <x:f t="shared" si="6">IF(OR($G36="",$H36="",$H36&lt;$G36),"",IF(AND(T$9&lt;=$H36,T$9+6&gt;=$G36),1,""))</x:f>
      </x:c>
      <x:c r="U36" s="12" t="str">
        <x:f t="shared" si="7">IF(OR($G36="",$H36="",$H36&lt;$G36),"",IF(AND(U$9&lt;=$H36,U$9+6&gt;=$G36),1,""))</x:f>
      </x:c>
      <x:c r="V36" s="13" t="str">
        <x:f t="shared" si="7">IF(OR($G36="",$H36="",$H36&lt;$G36),"",IF(AND(V$9&lt;=$H36,V$9+6&gt;=$G36),1,""))</x:f>
      </x:c>
      <x:c r="W36" s="12" t="str">
        <x:f t="shared" si="7">IF(OR($G36="",$H36="",$H36&lt;$G36),"",IF(AND(W$9&lt;=$H36,W$9+6&gt;=$G36),1,""))</x:f>
      </x:c>
      <x:c r="X36" s="13" t="str">
        <x:f t="shared" si="7">IF(OR($G36="",$H36="",$H36&lt;$G36),"",IF(AND(X$9&lt;=$H36,X$9+6&gt;=$G36),1,""))</x:f>
      </x:c>
      <x:c r="Y36" s="12" t="str">
        <x:f t="shared" si="7">IF(OR($G36="",$H36="",$H36&lt;$G36),"",IF(AND(Y$9&lt;=$H36,Y$9+6&gt;=$G36),1,""))</x:f>
      </x:c>
      <x:c r="Z36" s="13" t="str">
        <x:f t="shared" si="7">IF(OR($G36="",$H36="",$H36&lt;$G36),"",IF(AND(Z$9&lt;=$H36,Z$9+6&gt;=$G36),1,""))</x:f>
      </x:c>
      <x:c r="AA36" s="12" t="str">
        <x:f t="shared" si="7">IF(OR($G36="",$H36="",$H36&lt;$G36),"",IF(AND(AA$9&lt;=$H36,AA$9+6&gt;=$G36),1,""))</x:f>
      </x:c>
      <x:c r="AB36" s="13" t="str">
        <x:f t="shared" si="7">IF(OR($G36="",$H36="",$H36&lt;$G36),"",IF(AND(AB$9&lt;=$H36,AB$9+6&gt;=$G36),1,""))</x:f>
      </x:c>
      <x:c r="AC36" s="12" t="str">
        <x:f t="shared" si="7">IF(OR($G36="",$H36="",$H36&lt;$G36),"",IF(AND(AC$9&lt;=$H36,AC$9+6&gt;=$G36),1,""))</x:f>
      </x:c>
      <x:c r="AD36" s="13" t="str">
        <x:f t="shared" si="7">IF(OR($G36="",$H36="",$H36&lt;$G36),"",IF(AND(AD$9&lt;=$H36,AD$9+6&gt;=$G36),1,""))</x:f>
      </x:c>
    </x:row>
    <x:row r="37" ht="23" customHeight="1">
      <x:c r="B37" s="6" t="str">
        <x:v>Mốc 1A</x:v>
      </x:c>
      <x:c r="C37" s="50" t="str">
        <x:v>M02 Mốc tuần 8: hết 1A</x:v>
      </x:c>
      <x:c r="D37" s="8" t="str">
        <x:v>Nguyễn Hải Minh</x:v>
      </x:c>
      <x:c r="E37" s="8" t="str">
        <x:v>Not Started</x:v>
      </x:c>
      <x:c r="F37" s="8" t="str">
        <x:v>P0</x:v>
      </x:c>
      <x:c r="G37" s="54" t="n">
        <x:f>IF(OR($H$6="",'Chi tiet HK1'!E35="",'Chi tiet HK1'!F35="",'Chi tiet HK1'!F35&lt;'Chi tiet HK1'!E35),"",IF('Chi tiet HK1'!D35="Mốc",$H$6+'Chi tiet HK1'!F35*7-1,$H$6+('Chi tiet HK1'!E35-1)*7))</x:f>
        <x:v>46355</x:v>
      </x:c>
      <x:c r="H37" s="54" t="n">
        <x:f>IF(OR($H$6="",'Chi tiet HK1'!E35="",'Chi tiet HK1'!F35="",'Chi tiet HK1'!F35&lt;'Chi tiet HK1'!E35),"",$H$6+'Chi tiet HK1'!F35*7-1)</x:f>
        <x:v>46355</x:v>
      </x:c>
      <x:c r="I37" s="55" t="n">
        <x:f t="shared" si="1">IF(OR(G37="",H37="",H37&lt;G37),"",H37-G37+1)</x:f>
        <x:v>1</x:v>
      </x:c>
      <x:c r="J37" s="15"/>
      <x:c r="K37" s="12" t="str">
        <x:f t="shared" si="6">IF(OR($G37="",$H37="",$H37&lt;$G37),"",IF(AND(K$9&lt;=$H37,K$9+6&gt;=$G37),1,""))</x:f>
      </x:c>
      <x:c r="L37" s="13" t="str">
        <x:f t="shared" si="6">IF(OR($G37="",$H37="",$H37&lt;$G37),"",IF(AND(L$9&lt;=$H37,L$9+6&gt;=$G37),1,""))</x:f>
      </x:c>
      <x:c r="M37" s="12" t="str">
        <x:f t="shared" si="6">IF(OR($G37="",$H37="",$H37&lt;$G37),"",IF(AND(M$9&lt;=$H37,M$9+6&gt;=$G37),1,""))</x:f>
      </x:c>
      <x:c r="N37" s="13" t="str">
        <x:f t="shared" si="6">IF(OR($G37="",$H37="",$H37&lt;$G37),"",IF(AND(N$9&lt;=$H37,N$9+6&gt;=$G37),1,""))</x:f>
      </x:c>
      <x:c r="O37" s="12" t="str">
        <x:f t="shared" si="6">IF(OR($G37="",$H37="",$H37&lt;$G37),"",IF(AND(O$9&lt;=$H37,O$9+6&gt;=$G37),1,""))</x:f>
      </x:c>
      <x:c r="P37" s="13" t="str">
        <x:f t="shared" si="6">IF(OR($G37="",$H37="",$H37&lt;$G37),"",IF(AND(P$9&lt;=$H37,P$9+6&gt;=$G37),1,""))</x:f>
      </x:c>
      <x:c r="Q37" s="12" t="str">
        <x:f t="shared" si="6">IF(OR($G37="",$H37="",$H37&lt;$G37),"",IF(AND(Q$9&lt;=$H37,Q$9+6&gt;=$G37),1,""))</x:f>
      </x:c>
      <x:c r="R37" s="13" t="n">
        <x:f t="shared" si="6">IF(OR($G37="",$H37="",$H37&lt;$G37),"",IF(AND(R$9&lt;=$H37,R$9+6&gt;=$G37),1,""))</x:f>
        <x:v>1</x:v>
      </x:c>
      <x:c r="S37" s="12" t="str">
        <x:f t="shared" si="6">IF(OR($G37="",$H37="",$H37&lt;$G37),"",IF(AND(S$9&lt;=$H37,S$9+6&gt;=$G37),1,""))</x:f>
      </x:c>
      <x:c r="T37" s="13" t="str">
        <x:f t="shared" si="6">IF(OR($G37="",$H37="",$H37&lt;$G37),"",IF(AND(T$9&lt;=$H37,T$9+6&gt;=$G37),1,""))</x:f>
      </x:c>
      <x:c r="U37" s="12" t="str">
        <x:f t="shared" si="7">IF(OR($G37="",$H37="",$H37&lt;$G37),"",IF(AND(U$9&lt;=$H37,U$9+6&gt;=$G37),1,""))</x:f>
      </x:c>
      <x:c r="V37" s="13" t="str">
        <x:f t="shared" si="7">IF(OR($G37="",$H37="",$H37&lt;$G37),"",IF(AND(V$9&lt;=$H37,V$9+6&gt;=$G37),1,""))</x:f>
      </x:c>
      <x:c r="W37" s="12" t="str">
        <x:f t="shared" si="7">IF(OR($G37="",$H37="",$H37&lt;$G37),"",IF(AND(W$9&lt;=$H37,W$9+6&gt;=$G37),1,""))</x:f>
      </x:c>
      <x:c r="X37" s="13" t="str">
        <x:f t="shared" si="7">IF(OR($G37="",$H37="",$H37&lt;$G37),"",IF(AND(X$9&lt;=$H37,X$9+6&gt;=$G37),1,""))</x:f>
      </x:c>
      <x:c r="Y37" s="12" t="str">
        <x:f t="shared" si="7">IF(OR($G37="",$H37="",$H37&lt;$G37),"",IF(AND(Y$9&lt;=$H37,Y$9+6&gt;=$G37),1,""))</x:f>
      </x:c>
      <x:c r="Z37" s="13" t="str">
        <x:f t="shared" si="7">IF(OR($G37="",$H37="",$H37&lt;$G37),"",IF(AND(Z$9&lt;=$H37,Z$9+6&gt;=$G37),1,""))</x:f>
      </x:c>
      <x:c r="AA37" s="12" t="str">
        <x:f t="shared" si="7">IF(OR($G37="",$H37="",$H37&lt;$G37),"",IF(AND(AA$9&lt;=$H37,AA$9+6&gt;=$G37),1,""))</x:f>
      </x:c>
      <x:c r="AB37" s="13" t="str">
        <x:f t="shared" si="7">IF(OR($G37="",$H37="",$H37&lt;$G37),"",IF(AND(AB$9&lt;=$H37,AB$9+6&gt;=$G37),1,""))</x:f>
      </x:c>
      <x:c r="AC37" s="12" t="str">
        <x:f t="shared" si="7">IF(OR($G37="",$H37="",$H37&lt;$G37),"",IF(AND(AC$9&lt;=$H37,AC$9+6&gt;=$G37),1,""))</x:f>
      </x:c>
      <x:c r="AD37" s="13" t="str">
        <x:f t="shared" si="7">IF(OR($G37="",$H37="",$H37&lt;$G37),"",IF(AND(AD$9&lt;=$H37,AD$9+6&gt;=$G37),1,""))</x:f>
      </x:c>
    </x:row>
    <x:row r="38" ht="23" customHeight="1">
      <x:c r="B38" s="5" t="str">
        <x:v>Mốc 1B</x:v>
      </x:c>
      <x:c r="C38" s="49" t="str">
        <x:v>M03 Mốc tuần 12: đo được</x:v>
      </x:c>
      <x:c r="D38" s="7" t="str">
        <x:v>Nguyễn Hải Minh</x:v>
      </x:c>
      <x:c r="E38" s="7" t="str">
        <x:v>Not Started</x:v>
      </x:c>
      <x:c r="F38" s="7" t="str">
        <x:v>P0</x:v>
      </x:c>
      <x:c r="G38" s="53" t="n">
        <x:f>IF(OR($H$6="",'Chi tiet HK1'!E36="",'Chi tiet HK1'!F36="",'Chi tiet HK1'!F36&lt;'Chi tiet HK1'!E36),"",IF('Chi tiet HK1'!D36="Mốc",$H$6+'Chi tiet HK1'!F36*7-1,$H$6+('Chi tiet HK1'!E36-1)*7))</x:f>
        <x:v>46383</x:v>
      </x:c>
      <x:c r="H38" s="53" t="n">
        <x:f>IF(OR($H$6="",'Chi tiet HK1'!E36="",'Chi tiet HK1'!F36="",'Chi tiet HK1'!F36&lt;'Chi tiet HK1'!E36),"",$H$6+'Chi tiet HK1'!F36*7-1)</x:f>
        <x:v>46383</x:v>
      </x:c>
      <x:c r="I38" s="55" t="n">
        <x:f t="shared" si="1">IF(OR(G38="",H38="",H38&lt;G38),"",H38-G38+1)</x:f>
        <x:v>1</x:v>
      </x:c>
      <x:c r="J38" s="15"/>
      <x:c r="K38" s="12" t="str">
        <x:f t="shared" si="6">IF(OR($G38="",$H38="",$H38&lt;$G38),"",IF(AND(K$9&lt;=$H38,K$9+6&gt;=$G38),1,""))</x:f>
      </x:c>
      <x:c r="L38" s="13" t="str">
        <x:f t="shared" si="6">IF(OR($G38="",$H38="",$H38&lt;$G38),"",IF(AND(L$9&lt;=$H38,L$9+6&gt;=$G38),1,""))</x:f>
      </x:c>
      <x:c r="M38" s="12" t="str">
        <x:f t="shared" si="6">IF(OR($G38="",$H38="",$H38&lt;$G38),"",IF(AND(M$9&lt;=$H38,M$9+6&gt;=$G38),1,""))</x:f>
      </x:c>
      <x:c r="N38" s="13" t="str">
        <x:f t="shared" si="6">IF(OR($G38="",$H38="",$H38&lt;$G38),"",IF(AND(N$9&lt;=$H38,N$9+6&gt;=$G38),1,""))</x:f>
      </x:c>
      <x:c r="O38" s="12" t="str">
        <x:f t="shared" si="6">IF(OR($G38="",$H38="",$H38&lt;$G38),"",IF(AND(O$9&lt;=$H38,O$9+6&gt;=$G38),1,""))</x:f>
      </x:c>
      <x:c r="P38" s="13" t="str">
        <x:f t="shared" si="6">IF(OR($G38="",$H38="",$H38&lt;$G38),"",IF(AND(P$9&lt;=$H38,P$9+6&gt;=$G38),1,""))</x:f>
      </x:c>
      <x:c r="Q38" s="12" t="str">
        <x:f t="shared" si="6">IF(OR($G38="",$H38="",$H38&lt;$G38),"",IF(AND(Q$9&lt;=$H38,Q$9+6&gt;=$G38),1,""))</x:f>
      </x:c>
      <x:c r="R38" s="13" t="str">
        <x:f t="shared" si="6">IF(OR($G38="",$H38="",$H38&lt;$G38),"",IF(AND(R$9&lt;=$H38,R$9+6&gt;=$G38),1,""))</x:f>
      </x:c>
      <x:c r="S38" s="12" t="str">
        <x:f t="shared" si="6">IF(OR($G38="",$H38="",$H38&lt;$G38),"",IF(AND(S$9&lt;=$H38,S$9+6&gt;=$G38),1,""))</x:f>
      </x:c>
      <x:c r="T38" s="13" t="str">
        <x:f t="shared" si="6">IF(OR($G38="",$H38="",$H38&lt;$G38),"",IF(AND(T$9&lt;=$H38,T$9+6&gt;=$G38),1,""))</x:f>
      </x:c>
      <x:c r="U38" s="12" t="str">
        <x:f t="shared" si="7">IF(OR($G38="",$H38="",$H38&lt;$G38),"",IF(AND(U$9&lt;=$H38,U$9+6&gt;=$G38),1,""))</x:f>
      </x:c>
      <x:c r="V38" s="13" t="n">
        <x:f t="shared" si="7">IF(OR($G38="",$H38="",$H38&lt;$G38),"",IF(AND(V$9&lt;=$H38,V$9+6&gt;=$G38),1,""))</x:f>
        <x:v>1</x:v>
      </x:c>
      <x:c r="W38" s="12" t="str">
        <x:f t="shared" si="7">IF(OR($G38="",$H38="",$H38&lt;$G38),"",IF(AND(W$9&lt;=$H38,W$9+6&gt;=$G38),1,""))</x:f>
      </x:c>
      <x:c r="X38" s="13" t="str">
        <x:f t="shared" si="7">IF(OR($G38="",$H38="",$H38&lt;$G38),"",IF(AND(X$9&lt;=$H38,X$9+6&gt;=$G38),1,""))</x:f>
      </x:c>
      <x:c r="Y38" s="12" t="str">
        <x:f t="shared" si="7">IF(OR($G38="",$H38="",$H38&lt;$G38),"",IF(AND(Y$9&lt;=$H38,Y$9+6&gt;=$G38),1,""))</x:f>
      </x:c>
      <x:c r="Z38" s="13" t="str">
        <x:f t="shared" si="7">IF(OR($G38="",$H38="",$H38&lt;$G38),"",IF(AND(Z$9&lt;=$H38,Z$9+6&gt;=$G38),1,""))</x:f>
      </x:c>
      <x:c r="AA38" s="12" t="str">
        <x:f t="shared" si="7">IF(OR($G38="",$H38="",$H38&lt;$G38),"",IF(AND(AA$9&lt;=$H38,AA$9+6&gt;=$G38),1,""))</x:f>
      </x:c>
      <x:c r="AB38" s="13" t="str">
        <x:f t="shared" si="7">IF(OR($G38="",$H38="",$H38&lt;$G38),"",IF(AND(AB$9&lt;=$H38,AB$9+6&gt;=$G38),1,""))</x:f>
      </x:c>
      <x:c r="AC38" s="12" t="str">
        <x:f t="shared" si="7">IF(OR($G38="",$H38="",$H38&lt;$G38),"",IF(AND(AC$9&lt;=$H38,AC$9+6&gt;=$G38),1,""))</x:f>
      </x:c>
      <x:c r="AD38" s="13" t="str">
        <x:f t="shared" si="7">IF(OR($G38="",$H38="",$H38&lt;$G38),"",IF(AND(AD$9&lt;=$H38,AD$9+6&gt;=$G38),1,""))</x:f>
      </x:c>
    </x:row>
    <x:row r="39" ht="23" customHeight="1">
      <x:c r="B39" s="6" t="str">
        <x:v>Mốc 1B</x:v>
      </x:c>
      <x:c r="C39" s="50" t="str">
        <x:v>M04 Mốc tuần 16: hết HK1</x:v>
      </x:c>
      <x:c r="D39" s="8" t="str">
        <x:v>Nguyễn Hải Minh</x:v>
      </x:c>
      <x:c r="E39" s="8" t="str">
        <x:v>Not Started</x:v>
      </x:c>
      <x:c r="F39" s="8" t="str">
        <x:v>P0</x:v>
      </x:c>
      <x:c r="G39" s="54" t="n">
        <x:f>IF(OR($H$6="",'Chi tiet HK1'!E37="",'Chi tiet HK1'!F37="",'Chi tiet HK1'!F37&lt;'Chi tiet HK1'!E37),"",IF('Chi tiet HK1'!D37="Mốc",$H$6+'Chi tiet HK1'!F37*7-1,$H$6+('Chi tiet HK1'!E37-1)*7))</x:f>
        <x:v>46411</x:v>
      </x:c>
      <x:c r="H39" s="54" t="n">
        <x:f>IF(OR($H$6="",'Chi tiet HK1'!E37="",'Chi tiet HK1'!F37="",'Chi tiet HK1'!F37&lt;'Chi tiet HK1'!E37),"",$H$6+'Chi tiet HK1'!F37*7-1)</x:f>
        <x:v>46411</x:v>
      </x:c>
      <x:c r="I39" s="55" t="n">
        <x:f t="shared" si="1">IF(OR(G39="",H39="",H39&lt;G39),"",H39-G39+1)</x:f>
        <x:v>1</x:v>
      </x:c>
      <x:c r="J39" s="15"/>
      <x:c r="K39" s="12" t="str">
        <x:f t="shared" si="6">IF(OR($G39="",$H39="",$H39&lt;$G39),"",IF(AND(K$9&lt;=$H39,K$9+6&gt;=$G39),1,""))</x:f>
      </x:c>
      <x:c r="L39" s="13" t="str">
        <x:f t="shared" si="6">IF(OR($G39="",$H39="",$H39&lt;$G39),"",IF(AND(L$9&lt;=$H39,L$9+6&gt;=$G39),1,""))</x:f>
      </x:c>
      <x:c r="M39" s="12" t="str">
        <x:f t="shared" si="6">IF(OR($G39="",$H39="",$H39&lt;$G39),"",IF(AND(M$9&lt;=$H39,M$9+6&gt;=$G39),1,""))</x:f>
      </x:c>
      <x:c r="N39" s="13" t="str">
        <x:f t="shared" si="6">IF(OR($G39="",$H39="",$H39&lt;$G39),"",IF(AND(N$9&lt;=$H39,N$9+6&gt;=$G39),1,""))</x:f>
      </x:c>
      <x:c r="O39" s="12" t="str">
        <x:f t="shared" si="6">IF(OR($G39="",$H39="",$H39&lt;$G39),"",IF(AND(O$9&lt;=$H39,O$9+6&gt;=$G39),1,""))</x:f>
      </x:c>
      <x:c r="P39" s="13" t="str">
        <x:f t="shared" si="6">IF(OR($G39="",$H39="",$H39&lt;$G39),"",IF(AND(P$9&lt;=$H39,P$9+6&gt;=$G39),1,""))</x:f>
      </x:c>
      <x:c r="Q39" s="12" t="str">
        <x:f t="shared" si="6">IF(OR($G39="",$H39="",$H39&lt;$G39),"",IF(AND(Q$9&lt;=$H39,Q$9+6&gt;=$G39),1,""))</x:f>
      </x:c>
      <x:c r="R39" s="13" t="str">
        <x:f t="shared" si="6">IF(OR($G39="",$H39="",$H39&lt;$G39),"",IF(AND(R$9&lt;=$H39,R$9+6&gt;=$G39),1,""))</x:f>
      </x:c>
      <x:c r="S39" s="12" t="str">
        <x:f t="shared" si="6">IF(OR($G39="",$H39="",$H39&lt;$G39),"",IF(AND(S$9&lt;=$H39,S$9+6&gt;=$G39),1,""))</x:f>
      </x:c>
      <x:c r="T39" s="13" t="str">
        <x:f t="shared" si="6">IF(OR($G39="",$H39="",$H39&lt;$G39),"",IF(AND(T$9&lt;=$H39,T$9+6&gt;=$G39),1,""))</x:f>
      </x:c>
      <x:c r="U39" s="12" t="str">
        <x:f t="shared" si="7">IF(OR($G39="",$H39="",$H39&lt;$G39),"",IF(AND(U$9&lt;=$H39,U$9+6&gt;=$G39),1,""))</x:f>
      </x:c>
      <x:c r="V39" s="13" t="str">
        <x:f t="shared" si="7">IF(OR($G39="",$H39="",$H39&lt;$G39),"",IF(AND(V$9&lt;=$H39,V$9+6&gt;=$G39),1,""))</x:f>
      </x:c>
      <x:c r="W39" s="12" t="str">
        <x:f t="shared" si="7">IF(OR($G39="",$H39="",$H39&lt;$G39),"",IF(AND(W$9&lt;=$H39,W$9+6&gt;=$G39),1,""))</x:f>
      </x:c>
      <x:c r="X39" s="13" t="str">
        <x:f t="shared" si="7">IF(OR($G39="",$H39="",$H39&lt;$G39),"",IF(AND(X$9&lt;=$H39,X$9+6&gt;=$G39),1,""))</x:f>
      </x:c>
      <x:c r="Y39" s="12" t="str">
        <x:f t="shared" si="7">IF(OR($G39="",$H39="",$H39&lt;$G39),"",IF(AND(Y$9&lt;=$H39,Y$9+6&gt;=$G39),1,""))</x:f>
      </x:c>
      <x:c r="Z39" s="13" t="n">
        <x:f t="shared" si="7">IF(OR($G39="",$H39="",$H39&lt;$G39),"",IF(AND(Z$9&lt;=$H39,Z$9+6&gt;=$G39),1,""))</x:f>
        <x:v>1</x:v>
      </x:c>
      <x:c r="AA39" s="12" t="str">
        <x:f t="shared" si="7">IF(OR($G39="",$H39="",$H39&lt;$G39),"",IF(AND(AA$9&lt;=$H39,AA$9+6&gt;=$G39),1,""))</x:f>
      </x:c>
      <x:c r="AB39" s="13" t="str">
        <x:f t="shared" si="7">IF(OR($G39="",$H39="",$H39&lt;$G39),"",IF(AND(AB$9&lt;=$H39,AB$9+6&gt;=$G39),1,""))</x:f>
      </x:c>
      <x:c r="AC39" s="12" t="str">
        <x:f t="shared" si="7">IF(OR($G39="",$H39="",$H39&lt;$G39),"",IF(AND(AC$9&lt;=$H39,AC$9+6&gt;=$G39),1,""))</x:f>
      </x:c>
      <x:c r="AD39" s="13" t="str">
        <x:f t="shared" si="7">IF(OR($G39="",$H39="",$H39&lt;$G39),"",IF(AND(AD$9&lt;=$H39,AD$9+6&gt;=$G39),1,""))</x:f>
      </x:c>
    </x:row>
    <x:row r="40">
      <x:c r="B40" s="15"/>
      <x:c r="C40" s="15"/>
      <x:c r="D40" s="15"/>
      <x:c r="E40" s="15"/>
      <x:c r="F40" s="15"/>
      <x:c r="G40" s="15"/>
      <x:c r="H40" s="15"/>
      <x:c r="I40" s="15"/>
      <x:c r="J40" s="15"/>
      <x:c r="K40" s="15"/>
      <x:c r="L40" s="15"/>
      <x:c r="M40" s="15"/>
      <x:c r="N40" s="15"/>
      <x:c r="O40" s="15"/>
      <x:c r="P40" s="15"/>
      <x:c r="Q40" s="15"/>
      <x:c r="R40" s="15"/>
      <x:c r="S40" s="15"/>
      <x:c r="T40" s="15"/>
      <x:c r="U40" s="15"/>
      <x:c r="V40" s="15"/>
      <x:c r="W40" s="15"/>
      <x:c r="X40" s="15"/>
      <x:c r="Y40" s="15"/>
      <x:c r="Z40" s="15"/>
      <x:c r="AA40" s="15"/>
      <x:c r="AB40" s="15"/>
      <x:c r="AC40" s="15"/>
      <x:c r="AD40" s="15"/>
    </x:row>
    <x:row r="41" ht="24" customHeight="1">
      <x:c r="B41" s="29" t="str">
        <x:v>Sửa trạng thái và ưu tiên tại bảng này. Ngày công việc tự tính từ ngày bắt đầu và tuần tại Chi tiet HK1. Complete = đã đạt tiêu chí và có bằng chứng; In Progress = đang làm; At Risk = có vướng mắc; Not Started = chưa bắt đầu. P0 cần đạt, P1 quan trọng, P2 bổ sung. 1A = tuần 1–8; 1B = tuần 9–16 là cách chia đề xuất, cần đối chiếu lịch HUST.</x:v>
      </x:c>
      <x:c r="C41" s="30"/>
      <x:c r="D41" s="30"/>
      <x:c r="E41" s="30"/>
      <x:c r="F41" s="30"/>
      <x:c r="G41" s="30"/>
      <x:c r="H41" s="30"/>
      <x:c r="I41" s="30"/>
      <x:c r="J41" s="30"/>
      <x:c r="K41" s="30"/>
      <x:c r="L41" s="30"/>
      <x:c r="M41" s="30"/>
      <x:c r="N41" s="30"/>
      <x:c r="O41" s="30"/>
      <x:c r="P41" s="30"/>
      <x:c r="Q41" s="30"/>
      <x:c r="R41" s="30"/>
      <x:c r="S41" s="30"/>
      <x:c r="T41" s="30"/>
      <x:c r="U41" s="30"/>
      <x:c r="V41" s="30"/>
      <x:c r="W41" s="30"/>
      <x:c r="X41" s="30"/>
      <x:c r="Y41" s="30"/>
      <x:c r="Z41" s="30"/>
      <x:c r="AA41" s="30"/>
      <x:c r="AB41" s="30"/>
      <x:c r="AC41" s="30"/>
      <x:c r="AD41" s="31"/>
    </x:row>
    <x:row r="42" ht="24" customHeight="1">
      <x:c r="B42" s="32"/>
      <x:c r="C42" s="33"/>
      <x:c r="D42" s="33"/>
      <x:c r="E42" s="33"/>
      <x:c r="F42" s="33"/>
      <x:c r="G42" s="33"/>
      <x:c r="H42" s="33"/>
      <x:c r="I42" s="33"/>
      <x:c r="J42" s="33"/>
      <x:c r="K42" s="33"/>
      <x:c r="L42" s="33"/>
      <x:c r="M42" s="33"/>
      <x:c r="N42" s="33"/>
      <x:c r="O42" s="33"/>
      <x:c r="P42" s="33"/>
      <x:c r="Q42" s="33"/>
      <x:c r="R42" s="33"/>
      <x:c r="S42" s="33"/>
      <x:c r="T42" s="33"/>
      <x:c r="U42" s="33"/>
      <x:c r="V42" s="33"/>
      <x:c r="W42" s="33"/>
      <x:c r="X42" s="33"/>
      <x:c r="Y42" s="33"/>
      <x:c r="Z42" s="33"/>
      <x:c r="AA42" s="33"/>
      <x:c r="AB42" s="33"/>
      <x:c r="AC42" s="33"/>
      <x:c r="AD42" s="34"/>
    </x:row>
    <x:row r="45" ht="24" customHeight="1">
      <x:c r="B45" s="94" t="str">
        <x:v>KHỐI LƯỢNG THEO TUẦN</x:v>
      </x:c>
      <x:c r="C45" s="94"/>
      <x:c r="D45" s="94"/>
      <x:c r="E45" s="94"/>
      <x:c r="F45" s="94"/>
      <x:c r="G45" s="94"/>
      <x:c r="H45" s="94"/>
      <x:c r="I45" s="94"/>
      <x:c r="J45" s="92"/>
      <x:c r="K45" s="94" t="str">
        <x:v>NHỊP LÀM VIỆC VÀ MỐC KIỂM TRA</x:v>
      </x:c>
      <x:c r="L45" s="94"/>
      <x:c r="M45" s="94"/>
      <x:c r="N45" s="94"/>
      <x:c r="O45" s="94"/>
      <x:c r="P45" s="94"/>
      <x:c r="Q45" s="94"/>
      <x:c r="R45" s="94"/>
      <x:c r="S45" s="94"/>
      <x:c r="T45" s="94"/>
      <x:c r="U45" s="94"/>
      <x:c r="V45" s="94"/>
      <x:c r="W45" s="94"/>
      <x:c r="X45" s="94"/>
      <x:c r="Y45" s="94"/>
      <x:c r="Z45" s="94"/>
      <x:c r="AA45" s="94"/>
      <x:c r="AB45" s="94"/>
      <x:c r="AC45" s="94"/>
      <x:c r="AD45" s="94"/>
    </x:row>
    <x:row r="46">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2"/>
      <x:c r="Z46" s="92"/>
      <x:c r="AA46" s="92"/>
      <x:c r="AB46" s="92"/>
      <x:c r="AC46" s="92"/>
      <x:c r="AD46" s="92"/>
    </x:row>
    <x:row r="47" ht="22" customHeight="1">
      <x:c r="B47" s="98" t="str">
        <x:v>Tuần</x:v>
      </x:c>
      <x:c r="C47" s="98" t="str">
        <x:v>Bắt đầu tuần</x:v>
      </x:c>
      <x:c r="D47" s="98" t="str">
        <x:v>Học CA (h)</x:v>
      </x:c>
      <x:c r="E47" s="98" t="str">
        <x:v>Đồ án (h)</x:v>
      </x:c>
      <x:c r="F47" s="98" t="str">
        <x:v>Dự phòng (h)</x:v>
      </x:c>
      <x:c r="G47" s="98" t="str">
        <x:v>Tổng (h)</x:v>
      </x:c>
      <x:c r="H47" s="98" t="str">
        <x:v>Còn lại (h)</x:v>
      </x:c>
      <x:c r="I47" s="98" t="str">
        <x:v>Tải tuần</x:v>
      </x:c>
      <x:c r="J47" s="92"/>
      <x:c r="K47" s="92" t="str">
        <x:v>Giờ sẵn có / tuần</x:v>
      </x:c>
      <x:c r="L47" s="92"/>
      <x:c r="M47" s="92"/>
      <x:c r="N47" s="92"/>
      <x:c r="O47" s="100" t="n">
        <x:v>10</x:v>
      </x:c>
      <x:c r="P47" s="100"/>
      <x:c r="Q47" s="92"/>
      <x:c r="R47" s="112" t="str">
        <x:v>Nhịp đề xuất: 2 buổi tối × 2 giờ, 1 buổi cuối tuần × 4 giờ, cộng 2 giờ dự phòng. Tuần 1–8 học CA khoảng 4 giờ/tuần; tuần 9–12 là 3 giờ; tuần 13–16 là 2 giờ. Phần còn lại dành cho đồ án.</x:v>
      </x:c>
      <x:c r="S47" s="112"/>
      <x:c r="T47" s="112"/>
      <x:c r="U47" s="112"/>
      <x:c r="V47" s="112"/>
      <x:c r="W47" s="112"/>
      <x:c r="X47" s="112"/>
      <x:c r="Y47" s="112"/>
      <x:c r="Z47" s="112"/>
      <x:c r="AA47" s="112"/>
      <x:c r="AB47" s="112"/>
      <x:c r="AC47" s="112"/>
      <x:c r="AD47" s="112"/>
    </x:row>
    <x:row r="48" ht="23" customHeight="1">
      <x:c r="B48" s="102" t="n">
        <x:v>1</x:v>
      </x:c>
      <x:c r="C48" s="104" t="n">
        <x:f>$H$6+(B48-1)*7</x:f>
        <x:v>46300</x:v>
      </x:c>
      <x:c r="D48" s="106" t="n">
        <x:f>SUMIFS('Chi tiet HK1'!$L$8:$L$37,'Chi tiet HK1'!$D$8:$D$37,"Học CA",'Chi tiet HK1'!$E$8:$E$37,"&lt;="&amp;B48,'Chi tiet HK1'!$F$8:$F$37,"&gt;="&amp;B48)</x:f>
        <x:v>4</x:v>
      </x:c>
      <x:c r="E48" s="106" t="n">
        <x:f>SUMIFS('Chi tiet HK1'!$L$8:$L$37,'Chi tiet HK1'!$D$8:$D$37,"Đồ án",'Chi tiet HK1'!$E$8:$E$37,"&lt;="&amp;B48,'Chi tiet HK1'!$F$8:$F$37,"&gt;="&amp;B48)</x:f>
        <x:v>4</x:v>
      </x:c>
      <x:c r="F48" s="106" t="n">
        <x:f>$O$48</x:f>
        <x:v>2</x:v>
      </x:c>
      <x:c r="G48" s="106" t="n">
        <x:f>SUM(D48:F48)</x:f>
        <x:v>10</x:v>
      </x:c>
      <x:c r="H48" s="106" t="n">
        <x:f>$O$47-G48</x:f>
        <x:v>0</x:v>
      </x:c>
      <x:c r="I48" s="110" t="str">
        <x:f>IF($O$53&gt;0,"Thiếu lịch",IF(G48&gt;$O$47,"Quá tải","Trong tải"))</x:f>
        <x:v>Trong tải</x:v>
      </x:c>
      <x:c r="J48" s="92"/>
      <x:c r="K48" s="92" t="str">
        <x:v>Dự phòng / tuần</x:v>
      </x:c>
      <x:c r="L48" s="92"/>
      <x:c r="M48" s="92"/>
      <x:c r="N48" s="92"/>
      <x:c r="O48" s="100" t="n">
        <x:v>2</x:v>
      </x:c>
      <x:c r="P48" s="100"/>
      <x:c r="Q48" s="92"/>
      <x:c r="R48" s="112"/>
      <x:c r="S48" s="112"/>
      <x:c r="T48" s="112"/>
      <x:c r="U48" s="112"/>
      <x:c r="V48" s="112"/>
      <x:c r="W48" s="112"/>
      <x:c r="X48" s="112"/>
      <x:c r="Y48" s="112"/>
      <x:c r="Z48" s="112"/>
      <x:c r="AA48" s="112"/>
      <x:c r="AB48" s="112"/>
      <x:c r="AC48" s="112"/>
      <x:c r="AD48" s="112"/>
    </x:row>
    <x:row r="49" ht="23" customHeight="1">
      <x:c r="B49" s="103" t="n">
        <x:v>2</x:v>
      </x:c>
      <x:c r="C49" s="105" t="n">
        <x:f>$H$6+(B49-1)*7</x:f>
        <x:v>46307</x:v>
      </x:c>
      <x:c r="D49" s="107" t="n">
        <x:f>SUMIFS('Chi tiet HK1'!$L$8:$L$37,'Chi tiet HK1'!$D$8:$D$37,"Học CA",'Chi tiet HK1'!$E$8:$E$37,"&lt;="&amp;B49,'Chi tiet HK1'!$F$8:$F$37,"&gt;="&amp;B49)</x:f>
        <x:v>4</x:v>
      </x:c>
      <x:c r="E49" s="107" t="n">
        <x:f>SUMIFS('Chi tiet HK1'!$L$8:$L$37,'Chi tiet HK1'!$D$8:$D$37,"Đồ án",'Chi tiet HK1'!$E$8:$E$37,"&lt;="&amp;B49,'Chi tiet HK1'!$F$8:$F$37,"&gt;="&amp;B49)</x:f>
        <x:v>4</x:v>
      </x:c>
      <x:c r="F49" s="107" t="n">
        <x:f>$O$48</x:f>
        <x:v>2</x:v>
      </x:c>
      <x:c r="G49" s="107" t="n">
        <x:f>SUM(D49:F49)</x:f>
        <x:v>10</x:v>
      </x:c>
      <x:c r="H49" s="107" t="n">
        <x:f>$O$47-G49</x:f>
        <x:v>0</x:v>
      </x:c>
      <x:c r="I49" s="111" t="str">
        <x:f>IF($O$53&gt;0,"Thiếu lịch",IF(G49&gt;$O$47,"Quá tải","Trong tải"))</x:f>
        <x:v>Trong tải</x:v>
      </x:c>
      <x:c r="J49" s="92"/>
      <x:c r="K49" s="92" t="str">
        <x:v>Tổng giờ học CA</x:v>
      </x:c>
      <x:c r="L49" s="92"/>
      <x:c r="M49" s="92"/>
      <x:c r="N49" s="92"/>
      <x:c r="O49" s="101" t="n">
        <x:f>SUM(D48:D63)</x:f>
        <x:v>52</x:v>
      </x:c>
      <x:c r="P49" s="101"/>
      <x:c r="Q49" s="92"/>
      <x:c r="R49" s="112"/>
      <x:c r="S49" s="112"/>
      <x:c r="T49" s="112"/>
      <x:c r="U49" s="112"/>
      <x:c r="V49" s="112"/>
      <x:c r="W49" s="112"/>
      <x:c r="X49" s="112"/>
      <x:c r="Y49" s="112"/>
      <x:c r="Z49" s="112"/>
      <x:c r="AA49" s="112"/>
      <x:c r="AB49" s="112"/>
      <x:c r="AC49" s="112"/>
      <x:c r="AD49" s="112"/>
    </x:row>
    <x:row r="50" ht="23" customHeight="1">
      <x:c r="B50" s="102" t="n">
        <x:v>3</x:v>
      </x:c>
      <x:c r="C50" s="104" t="n">
        <x:f>$H$6+(B50-1)*7</x:f>
        <x:v>46314</x:v>
      </x:c>
      <x:c r="D50" s="106" t="n">
        <x:f>SUMIFS('Chi tiet HK1'!$L$8:$L$37,'Chi tiet HK1'!$D$8:$D$37,"Học CA",'Chi tiet HK1'!$E$8:$E$37,"&lt;="&amp;B50,'Chi tiet HK1'!$F$8:$F$37,"&gt;="&amp;B50)</x:f>
        <x:v>4</x:v>
      </x:c>
      <x:c r="E50" s="106" t="n">
        <x:f>SUMIFS('Chi tiet HK1'!$L$8:$L$37,'Chi tiet HK1'!$D$8:$D$37,"Đồ án",'Chi tiet HK1'!$E$8:$E$37,"&lt;="&amp;B50,'Chi tiet HK1'!$F$8:$F$37,"&gt;="&amp;B50)</x:f>
        <x:v>4</x:v>
      </x:c>
      <x:c r="F50" s="106" t="n">
        <x:f>$O$48</x:f>
        <x:v>2</x:v>
      </x:c>
      <x:c r="G50" s="106" t="n">
        <x:f>SUM(D50:F50)</x:f>
        <x:v>10</x:v>
      </x:c>
      <x:c r="H50" s="106" t="n">
        <x:f>$O$47-G50</x:f>
        <x:v>0</x:v>
      </x:c>
      <x:c r="I50" s="110" t="str">
        <x:f>IF($O$53&gt;0,"Thiếu lịch",IF(G50&gt;$O$47,"Quá tải","Trong tải"))</x:f>
        <x:v>Trong tải</x:v>
      </x:c>
      <x:c r="J50" s="92"/>
      <x:c r="K50" s="92" t="str">
        <x:v>Tổng giờ đồ án</x:v>
      </x:c>
      <x:c r="L50" s="92"/>
      <x:c r="M50" s="92"/>
      <x:c r="N50" s="92"/>
      <x:c r="O50" s="101" t="n">
        <x:f>SUM(E48:E63)</x:f>
        <x:v>76</x:v>
      </x:c>
      <x:c r="P50" s="101"/>
      <x:c r="Q50" s="92"/>
      <x:c r="R50" s="112"/>
      <x:c r="S50" s="112"/>
      <x:c r="T50" s="112"/>
      <x:c r="U50" s="112"/>
      <x:c r="V50" s="112"/>
      <x:c r="W50" s="112"/>
      <x:c r="X50" s="112"/>
      <x:c r="Y50" s="112"/>
      <x:c r="Z50" s="112"/>
      <x:c r="AA50" s="112"/>
      <x:c r="AB50" s="112"/>
      <x:c r="AC50" s="112"/>
      <x:c r="AD50" s="112"/>
    </x:row>
    <x:row r="51" ht="23" customHeight="1">
      <x:c r="B51" s="103" t="n">
        <x:v>4</x:v>
      </x:c>
      <x:c r="C51" s="105" t="n">
        <x:f>$H$6+(B51-1)*7</x:f>
        <x:v>46321</x:v>
      </x:c>
      <x:c r="D51" s="107" t="n">
        <x:f>SUMIFS('Chi tiet HK1'!$L$8:$L$37,'Chi tiet HK1'!$D$8:$D$37,"Học CA",'Chi tiet HK1'!$E$8:$E$37,"&lt;="&amp;B51,'Chi tiet HK1'!$F$8:$F$37,"&gt;="&amp;B51)</x:f>
        <x:v>4</x:v>
      </x:c>
      <x:c r="E51" s="107" t="n">
        <x:f>SUMIFS('Chi tiet HK1'!$L$8:$L$37,'Chi tiet HK1'!$D$8:$D$37,"Đồ án",'Chi tiet HK1'!$E$8:$E$37,"&lt;="&amp;B51,'Chi tiet HK1'!$F$8:$F$37,"&gt;="&amp;B51)</x:f>
        <x:v>4</x:v>
      </x:c>
      <x:c r="F51" s="107" t="n">
        <x:f>$O$48</x:f>
        <x:v>2</x:v>
      </x:c>
      <x:c r="G51" s="107" t="n">
        <x:f>SUM(D51:F51)</x:f>
        <x:v>10</x:v>
      </x:c>
      <x:c r="H51" s="107" t="n">
        <x:f>$O$47-G51</x:f>
        <x:v>0</x:v>
      </x:c>
      <x:c r="I51" s="111" t="str">
        <x:f>IF($O$53&gt;0,"Thiếu lịch",IF(G51&gt;$O$47,"Quá tải","Trong tải"))</x:f>
        <x:v>Trong tải</x:v>
      </x:c>
      <x:c r="J51" s="92"/>
      <x:c r="K51" s="92" t="str">
        <x:v>Giờ đã xếp và dự phòng</x:v>
      </x:c>
      <x:c r="L51" s="92"/>
      <x:c r="M51" s="92"/>
      <x:c r="N51" s="92"/>
      <x:c r="O51" s="101" t="n">
        <x:f>SUM(G48:G63)</x:f>
        <x:v>160</x:v>
      </x:c>
      <x:c r="P51" s="101"/>
      <x:c r="Q51" s="92"/>
      <x:c r="R51" s="92"/>
      <x:c r="S51" s="92"/>
      <x:c r="T51" s="92"/>
      <x:c r="U51" s="92"/>
      <x:c r="V51" s="92"/>
      <x:c r="W51" s="92"/>
      <x:c r="X51" s="92"/>
      <x:c r="Y51" s="92"/>
      <x:c r="Z51" s="92"/>
      <x:c r="AA51" s="92"/>
      <x:c r="AB51" s="92"/>
      <x:c r="AC51" s="92"/>
      <x:c r="AD51" s="92"/>
    </x:row>
    <x:row r="52" ht="23" customHeight="1">
      <x:c r="B52" s="102" t="n">
        <x:v>5</x:v>
      </x:c>
      <x:c r="C52" s="104" t="n">
        <x:f>$H$6+(B52-1)*7</x:f>
        <x:v>46328</x:v>
      </x:c>
      <x:c r="D52" s="106" t="n">
        <x:f>SUMIFS('Chi tiet HK1'!$L$8:$L$37,'Chi tiet HK1'!$D$8:$D$37,"Học CA",'Chi tiet HK1'!$E$8:$E$37,"&lt;="&amp;B52,'Chi tiet HK1'!$F$8:$F$37,"&gt;="&amp;B52)</x:f>
        <x:v>4</x:v>
      </x:c>
      <x:c r="E52" s="106" t="n">
        <x:f>SUMIFS('Chi tiet HK1'!$L$8:$L$37,'Chi tiet HK1'!$D$8:$D$37,"Đồ án",'Chi tiet HK1'!$E$8:$E$37,"&lt;="&amp;B52,'Chi tiet HK1'!$F$8:$F$37,"&gt;="&amp;B52)</x:f>
        <x:v>4</x:v>
      </x:c>
      <x:c r="F52" s="106" t="n">
        <x:f>$O$48</x:f>
        <x:v>2</x:v>
      </x:c>
      <x:c r="G52" s="106" t="n">
        <x:f>SUM(D52:F52)</x:f>
        <x:v>10</x:v>
      </x:c>
      <x:c r="H52" s="106" t="n">
        <x:f>$O$47-G52</x:f>
        <x:v>0</x:v>
      </x:c>
      <x:c r="I52" s="110" t="str">
        <x:f>IF($O$53&gt;0,"Thiếu lịch",IF(G52&gt;$O$47,"Quá tải","Trong tải"))</x:f>
        <x:v>Trong tải</x:v>
      </x:c>
      <x:c r="J52" s="92"/>
      <x:c r="K52" s="92" t="str">
        <x:v>Tuần quá tải</x:v>
      </x:c>
      <x:c r="L52" s="92"/>
      <x:c r="M52" s="92"/>
      <x:c r="N52" s="92"/>
      <x:c r="O52" s="101" t="n">
        <x:f>COUNTIFS(I48:I63,"Quá tải")</x:f>
        <x:v>0</x:v>
      </x:c>
      <x:c r="P52" s="101"/>
      <x:c r="Q52" s="92"/>
      <x:c r="R52" s="113" t="str">
        <x:v>Lịch chưa trừ ngày nghỉ/lịch môn học. Giảm giờ sẵn có nếu bận; cảnh báo tải tuần sẽ đổi theo. Bốn tuần cuối Gantt để trống, chưa tự động gia hạn HK1.</x:v>
      </x:c>
      <x:c r="S52" s="113"/>
      <x:c r="T52" s="113"/>
      <x:c r="U52" s="113"/>
      <x:c r="V52" s="113"/>
      <x:c r="W52" s="113"/>
      <x:c r="X52" s="113"/>
      <x:c r="Y52" s="113"/>
      <x:c r="Z52" s="113"/>
      <x:c r="AA52" s="113"/>
      <x:c r="AB52" s="113"/>
      <x:c r="AC52" s="113"/>
      <x:c r="AD52" s="113"/>
    </x:row>
    <x:row r="53" ht="23" customHeight="1">
      <x:c r="B53" s="103" t="n">
        <x:v>6</x:v>
      </x:c>
      <x:c r="C53" s="105" t="n">
        <x:f>$H$6+(B53-1)*7</x:f>
        <x:v>46335</x:v>
      </x:c>
      <x:c r="D53" s="107" t="n">
        <x:f>SUMIFS('Chi tiet HK1'!$L$8:$L$37,'Chi tiet HK1'!$D$8:$D$37,"Học CA",'Chi tiet HK1'!$E$8:$E$37,"&lt;="&amp;B53,'Chi tiet HK1'!$F$8:$F$37,"&gt;="&amp;B53)</x:f>
        <x:v>4</x:v>
      </x:c>
      <x:c r="E53" s="107" t="n">
        <x:f>SUMIFS('Chi tiet HK1'!$L$8:$L$37,'Chi tiet HK1'!$D$8:$D$37,"Đồ án",'Chi tiet HK1'!$E$8:$E$37,"&lt;="&amp;B53,'Chi tiet HK1'!$F$8:$F$37,"&gt;="&amp;B53)</x:f>
        <x:v>4</x:v>
      </x:c>
      <x:c r="F53" s="107" t="n">
        <x:f>$O$48</x:f>
        <x:v>2</x:v>
      </x:c>
      <x:c r="G53" s="107" t="n">
        <x:f>SUM(D53:F53)</x:f>
        <x:v>10</x:v>
      </x:c>
      <x:c r="H53" s="107" t="n">
        <x:f>$O$47-G53</x:f>
        <x:v>0</x:v>
      </x:c>
      <x:c r="I53" s="111" t="str">
        <x:f>IF($O$53&gt;0,"Thiếu lịch",IF(G53&gt;$O$47,"Quá tải","Trong tải"))</x:f>
        <x:v>Trong tải</x:v>
      </x:c>
      <x:c r="J53" s="92"/>
      <x:c r="K53" s="92" t="str">
        <x:v>Mục thiếu lịch</x:v>
      </x:c>
      <x:c r="L53" s="92"/>
      <x:c r="M53" s="92"/>
      <x:c r="N53" s="92"/>
      <x:c r="O53" s="101" t="n">
        <x:f>COUNTBLANK(G10:G39)</x:f>
        <x:v>0</x:v>
      </x:c>
      <x:c r="P53" s="101"/>
      <x:c r="Q53" s="92"/>
      <x:c r="R53" s="113"/>
      <x:c r="S53" s="113"/>
      <x:c r="T53" s="113"/>
      <x:c r="U53" s="113"/>
      <x:c r="V53" s="113"/>
      <x:c r="W53" s="113"/>
      <x:c r="X53" s="113"/>
      <x:c r="Y53" s="113"/>
      <x:c r="Z53" s="113"/>
      <x:c r="AA53" s="113"/>
      <x:c r="AB53" s="113"/>
      <x:c r="AC53" s="113"/>
      <x:c r="AD53" s="113"/>
    </x:row>
    <x:row r="54" ht="23" customHeight="1">
      <x:c r="B54" s="102" t="n">
        <x:v>7</x:v>
      </x:c>
      <x:c r="C54" s="104" t="n">
        <x:f>$H$6+(B54-1)*7</x:f>
        <x:v>46342</x:v>
      </x:c>
      <x:c r="D54" s="106" t="n">
        <x:f>SUMIFS('Chi tiet HK1'!$L$8:$L$37,'Chi tiet HK1'!$D$8:$D$37,"Học CA",'Chi tiet HK1'!$E$8:$E$37,"&lt;="&amp;B54,'Chi tiet HK1'!$F$8:$F$37,"&gt;="&amp;B54)</x:f>
        <x:v>4</x:v>
      </x:c>
      <x:c r="E54" s="106" t="n">
        <x:f>SUMIFS('Chi tiet HK1'!$L$8:$L$37,'Chi tiet HK1'!$D$8:$D$37,"Đồ án",'Chi tiet HK1'!$E$8:$E$37,"&lt;="&amp;B54,'Chi tiet HK1'!$F$8:$F$37,"&gt;="&amp;B54)</x:f>
        <x:v>4</x:v>
      </x:c>
      <x:c r="F54" s="106" t="n">
        <x:f>$O$48</x:f>
        <x:v>2</x:v>
      </x:c>
      <x:c r="G54" s="106" t="n">
        <x:f>SUM(D54:F54)</x:f>
        <x:v>10</x:v>
      </x:c>
      <x:c r="H54" s="106" t="n">
        <x:f>$O$47-G54</x:f>
        <x:v>0</x:v>
      </x:c>
      <x:c r="I54" s="110" t="str">
        <x:f>IF($O$53&gt;0,"Thiếu lịch",IF(G54&gt;$O$47,"Quá tải","Trong tải"))</x:f>
        <x:v>Trong tải</x:v>
      </x:c>
      <x:c r="J54" s="92"/>
      <x:c r="K54" s="92"/>
      <x:c r="L54" s="92"/>
      <x:c r="M54" s="92"/>
      <x:c r="N54" s="92"/>
      <x:c r="O54" s="92"/>
      <x:c r="P54" s="92"/>
      <x:c r="Q54" s="92"/>
      <x:c r="R54" s="92"/>
      <x:c r="S54" s="92"/>
      <x:c r="T54" s="92"/>
      <x:c r="U54" s="92"/>
      <x:c r="V54" s="92"/>
      <x:c r="W54" s="92"/>
      <x:c r="X54" s="92"/>
      <x:c r="Y54" s="92"/>
      <x:c r="Z54" s="92"/>
      <x:c r="AA54" s="92"/>
      <x:c r="AB54" s="92"/>
      <x:c r="AC54" s="92"/>
      <x:c r="AD54" s="92"/>
    </x:row>
    <x:row r="55" ht="24" customHeight="1">
      <x:c r="B55" s="103" t="n">
        <x:v>8</x:v>
      </x:c>
      <x:c r="C55" s="105" t="n">
        <x:f>$H$6+(B55-1)*7</x:f>
        <x:v>46349</x:v>
      </x:c>
      <x:c r="D55" s="107" t="n">
        <x:f>SUMIFS('Chi tiet HK1'!$L$8:$L$37,'Chi tiet HK1'!$D$8:$D$37,"Học CA",'Chi tiet HK1'!$E$8:$E$37,"&lt;="&amp;B55,'Chi tiet HK1'!$F$8:$F$37,"&gt;="&amp;B55)</x:f>
        <x:v>4</x:v>
      </x:c>
      <x:c r="E55" s="107" t="n">
        <x:f>SUMIFS('Chi tiet HK1'!$L$8:$L$37,'Chi tiet HK1'!$D$8:$D$37,"Đồ án",'Chi tiet HK1'!$E$8:$E$37,"&lt;="&amp;B55,'Chi tiet HK1'!$F$8:$F$37,"&gt;="&amp;B55)</x:f>
        <x:v>4</x:v>
      </x:c>
      <x:c r="F55" s="107" t="n">
        <x:f>$O$48</x:f>
        <x:v>2</x:v>
      </x:c>
      <x:c r="G55" s="107" t="n">
        <x:f>SUM(D55:F55)</x:f>
        <x:v>10</x:v>
      </x:c>
      <x:c r="H55" s="107" t="n">
        <x:f>$O$47-G55</x:f>
        <x:v>0</x:v>
      </x:c>
      <x:c r="I55" s="111" t="str">
        <x:f>IF($O$53&gt;0,"Thiếu lịch",IF(G55&gt;$O$47,"Quá tải","Trong tải"))</x:f>
        <x:v>Trong tải</x:v>
      </x:c>
      <x:c r="J55" s="92"/>
      <x:c r="K55" s="96" t="str">
        <x:v>Mốc</x:v>
      </x:c>
      <x:c r="L55" s="96"/>
      <x:c r="M55" s="96"/>
      <x:c r="N55" s="96" t="str">
        <x:v>Điều kiện để review</x:v>
      </x:c>
      <x:c r="O55" s="96"/>
      <x:c r="P55" s="96"/>
      <x:c r="Q55" s="96"/>
      <x:c r="R55" s="96"/>
      <x:c r="S55" s="96"/>
      <x:c r="T55" s="96"/>
      <x:c r="U55" s="96"/>
      <x:c r="V55" s="96"/>
      <x:c r="W55" s="96"/>
      <x:c r="X55" s="96" t="str">
        <x:v>Tình trạng điều kiện</x:v>
      </x:c>
      <x:c r="Y55" s="96"/>
      <x:c r="Z55" s="96"/>
      <x:c r="AA55" s="96"/>
      <x:c r="AB55" s="96"/>
      <x:c r="AC55" s="96"/>
      <x:c r="AD55" s="96"/>
    </x:row>
    <x:row r="56" ht="28" customHeight="1">
      <x:c r="B56" s="102" t="n">
        <x:v>9</x:v>
      </x:c>
      <x:c r="C56" s="104" t="n">
        <x:f>$H$6+(B56-1)*7</x:f>
        <x:v>46356</x:v>
      </x:c>
      <x:c r="D56" s="106" t="n">
        <x:f>SUMIFS('Chi tiet HK1'!$L$8:$L$37,'Chi tiet HK1'!$D$8:$D$37,"Học CA",'Chi tiet HK1'!$E$8:$E$37,"&lt;="&amp;B56,'Chi tiet HK1'!$F$8:$F$37,"&gt;="&amp;B56)</x:f>
        <x:v>3</x:v>
      </x:c>
      <x:c r="E56" s="106" t="n">
        <x:f>SUMIFS('Chi tiet HK1'!$L$8:$L$37,'Chi tiet HK1'!$D$8:$D$37,"Đồ án",'Chi tiet HK1'!$E$8:$E$37,"&lt;="&amp;B56,'Chi tiet HK1'!$F$8:$F$37,"&gt;="&amp;B56)</x:f>
        <x:v>5</x:v>
      </x:c>
      <x:c r="F56" s="106" t="n">
        <x:f>$O$48</x:f>
        <x:v>2</x:v>
      </x:c>
      <x:c r="G56" s="106" t="n">
        <x:f>SUM(D56:F56)</x:f>
        <x:v>10</x:v>
      </x:c>
      <x:c r="H56" s="106" t="n">
        <x:f>$O$47-G56</x:f>
        <x:v>0</x:v>
      </x:c>
      <x:c r="I56" s="110" t="str">
        <x:f>IF($O$53&gt;0,"Thiếu lịch",IF(G56&gt;$O$47,"Quá tải","Trong tải"))</x:f>
        <x:v>Trong tải</x:v>
      </x:c>
      <x:c r="J56" s="92"/>
      <x:c r="K56" s="108" t="str">
        <x:v>M01 / tuần 4</x:v>
      </x:c>
      <x:c r="L56" s="108"/>
      <x:c r="M56" s="108"/>
      <x:c r="N56" s="108" t="str">
        <x:v>C01, C02, C03, P01, P02, P03, P04</x:v>
      </x:c>
      <x:c r="O56" s="108"/>
      <x:c r="P56" s="108"/>
      <x:c r="Q56" s="108"/>
      <x:c r="R56" s="108"/>
      <x:c r="S56" s="108"/>
      <x:c r="T56" s="108"/>
      <x:c r="U56" s="108"/>
      <x:c r="V56" s="108"/>
      <x:c r="W56" s="108"/>
      <x:c r="X56" s="108" t="str">
        <x:f>IF((IF($E$10="Complete",0,1)+IF($E$11="Complete",0,1)+IF($E$12="Complete",0,1)+IF($E$20="Complete",0,1)+IF($E$21="Complete",0,1)+IF($E$22="Complete",0,1)+IF($E$23="Complete",0,1))=0,"Sẵn sàng review","Còn "&amp;(IF($E$10="Complete",0,1)+IF($E$11="Complete",0,1)+IF($E$12="Complete",0,1)+IF($E$20="Complete",0,1)+IF($E$21="Complete",0,1)+IF($E$22="Complete",0,1)+IF($E$23="Complete",0,1))&amp;" mục chưa đạt")</x:f>
        <x:v>Còn 7 mục chưa đạt</x:v>
      </x:c>
      <x:c r="Y56" s="108"/>
      <x:c r="Z56" s="108"/>
      <x:c r="AA56" s="108"/>
      <x:c r="AB56" s="108"/>
      <x:c r="AC56" s="108"/>
      <x:c r="AD56" s="108"/>
    </x:row>
    <x:row r="57" ht="28" customHeight="1">
      <x:c r="B57" s="103" t="n">
        <x:v>10</x:v>
      </x:c>
      <x:c r="C57" s="105" t="n">
        <x:f>$H$6+(B57-1)*7</x:f>
        <x:v>46363</x:v>
      </x:c>
      <x:c r="D57" s="107" t="n">
        <x:f>SUMIFS('Chi tiet HK1'!$L$8:$L$37,'Chi tiet HK1'!$D$8:$D$37,"Học CA",'Chi tiet HK1'!$E$8:$E$37,"&lt;="&amp;B57,'Chi tiet HK1'!$F$8:$F$37,"&gt;="&amp;B57)</x:f>
        <x:v>3</x:v>
      </x:c>
      <x:c r="E57" s="107" t="n">
        <x:f>SUMIFS('Chi tiet HK1'!$L$8:$L$37,'Chi tiet HK1'!$D$8:$D$37,"Đồ án",'Chi tiet HK1'!$E$8:$E$37,"&lt;="&amp;B57,'Chi tiet HK1'!$F$8:$F$37,"&gt;="&amp;B57)</x:f>
        <x:v>5</x:v>
      </x:c>
      <x:c r="F57" s="107" t="n">
        <x:f>$O$48</x:f>
        <x:v>2</x:v>
      </x:c>
      <x:c r="G57" s="107" t="n">
        <x:f>SUM(D57:F57)</x:f>
        <x:v>10</x:v>
      </x:c>
      <x:c r="H57" s="107" t="n">
        <x:f>$O$47-G57</x:f>
        <x:v>0</x:v>
      </x:c>
      <x:c r="I57" s="111" t="str">
        <x:f>IF($O$53&gt;0,"Thiếu lịch",IF(G57&gt;$O$47,"Quá tải","Trong tải"))</x:f>
        <x:v>Trong tải</x:v>
      </x:c>
      <x:c r="J57" s="92"/>
      <x:c r="K57" s="109" t="str">
        <x:v>M02 / tuần 8</x:v>
      </x:c>
      <x:c r="L57" s="109"/>
      <x:c r="M57" s="109"/>
      <x:c r="N57" s="109" t="str">
        <x:v>M01, C04, C05, C06, P05, P06, P07, P08</x:v>
      </x:c>
      <x:c r="O57" s="109"/>
      <x:c r="P57" s="109"/>
      <x:c r="Q57" s="109"/>
      <x:c r="R57" s="109"/>
      <x:c r="S57" s="109"/>
      <x:c r="T57" s="109"/>
      <x:c r="U57" s="109"/>
      <x:c r="V57" s="109"/>
      <x:c r="W57" s="109"/>
      <x:c r="X57" s="109" t="str">
        <x:f>IF((IF($E$36="Complete",0,1)+IF($E$13="Complete",0,1)+IF($E$14="Complete",0,1)+IF($E$15="Complete",0,1)+IF($E$24="Complete",0,1)+IF($E$25="Complete",0,1)+IF($E$26="Complete",0,1)+IF($E$27="Complete",0,1))=0,"Sẵn sàng review","Còn "&amp;(IF($E$36="Complete",0,1)+IF($E$13="Complete",0,1)+IF($E$14="Complete",0,1)+IF($E$15="Complete",0,1)+IF($E$24="Complete",0,1)+IF($E$25="Complete",0,1)+IF($E$26="Complete",0,1)+IF($E$27="Complete",0,1))&amp;" mục chưa đạt")</x:f>
        <x:v>Còn 8 mục chưa đạt</x:v>
      </x:c>
      <x:c r="Y57" s="109"/>
      <x:c r="Z57" s="109"/>
      <x:c r="AA57" s="109"/>
      <x:c r="AB57" s="109"/>
      <x:c r="AC57" s="109"/>
      <x:c r="AD57" s="109"/>
    </x:row>
    <x:row r="58" ht="28" customHeight="1">
      <x:c r="B58" s="102" t="n">
        <x:v>11</x:v>
      </x:c>
      <x:c r="C58" s="104" t="n">
        <x:f>$H$6+(B58-1)*7</x:f>
        <x:v>46370</x:v>
      </x:c>
      <x:c r="D58" s="106" t="n">
        <x:f>SUMIFS('Chi tiet HK1'!$L$8:$L$37,'Chi tiet HK1'!$D$8:$D$37,"Học CA",'Chi tiet HK1'!$E$8:$E$37,"&lt;="&amp;B58,'Chi tiet HK1'!$F$8:$F$37,"&gt;="&amp;B58)</x:f>
        <x:v>3</x:v>
      </x:c>
      <x:c r="E58" s="106" t="n">
        <x:f>SUMIFS('Chi tiet HK1'!$L$8:$L$37,'Chi tiet HK1'!$D$8:$D$37,"Đồ án",'Chi tiet HK1'!$E$8:$E$37,"&lt;="&amp;B58,'Chi tiet HK1'!$F$8:$F$37,"&gt;="&amp;B58)</x:f>
        <x:v>5</x:v>
      </x:c>
      <x:c r="F58" s="106" t="n">
        <x:f>$O$48</x:f>
        <x:v>2</x:v>
      </x:c>
      <x:c r="G58" s="106" t="n">
        <x:f>SUM(D58:F58)</x:f>
        <x:v>10</x:v>
      </x:c>
      <x:c r="H58" s="106" t="n">
        <x:f>$O$47-G58</x:f>
        <x:v>0</x:v>
      </x:c>
      <x:c r="I58" s="110" t="str">
        <x:f>IF($O$53&gt;0,"Thiếu lịch",IF(G58&gt;$O$47,"Quá tải","Trong tải"))</x:f>
        <x:v>Trong tải</x:v>
      </x:c>
      <x:c r="J58" s="92"/>
      <x:c r="K58" s="108" t="str">
        <x:v>M03 / tuần 12</x:v>
      </x:c>
      <x:c r="L58" s="108"/>
      <x:c r="M58" s="108"/>
      <x:c r="N58" s="108" t="str">
        <x:v>M02, C07, C08, P09, P10, P11, P12</x:v>
      </x:c>
      <x:c r="O58" s="108"/>
      <x:c r="P58" s="108"/>
      <x:c r="Q58" s="108"/>
      <x:c r="R58" s="108"/>
      <x:c r="S58" s="108"/>
      <x:c r="T58" s="108"/>
      <x:c r="U58" s="108"/>
      <x:c r="V58" s="108"/>
      <x:c r="W58" s="108"/>
      <x:c r="X58" s="108" t="str">
        <x:f>IF((IF($E$37="Complete",0,1)+IF($E$16="Complete",0,1)+IF($E$17="Complete",0,1)+IF($E$28="Complete",0,1)+IF($E$29="Complete",0,1)+IF($E$30="Complete",0,1)+IF($E$31="Complete",0,1))=0,"Sẵn sàng review","Còn "&amp;(IF($E$37="Complete",0,1)+IF($E$16="Complete",0,1)+IF($E$17="Complete",0,1)+IF($E$28="Complete",0,1)+IF($E$29="Complete",0,1)+IF($E$30="Complete",0,1)+IF($E$31="Complete",0,1))&amp;" mục chưa đạt")</x:f>
        <x:v>Còn 7 mục chưa đạt</x:v>
      </x:c>
      <x:c r="Y58" s="108"/>
      <x:c r="Z58" s="108"/>
      <x:c r="AA58" s="108"/>
      <x:c r="AB58" s="108"/>
      <x:c r="AC58" s="108"/>
      <x:c r="AD58" s="108"/>
    </x:row>
    <x:row r="59" ht="28" customHeight="1">
      <x:c r="B59" s="103" t="n">
        <x:v>12</x:v>
      </x:c>
      <x:c r="C59" s="105" t="n">
        <x:f>$H$6+(B59-1)*7</x:f>
        <x:v>46377</x:v>
      </x:c>
      <x:c r="D59" s="107" t="n">
        <x:f>SUMIFS('Chi tiet HK1'!$L$8:$L$37,'Chi tiet HK1'!$D$8:$D$37,"Học CA",'Chi tiet HK1'!$E$8:$E$37,"&lt;="&amp;B59,'Chi tiet HK1'!$F$8:$F$37,"&gt;="&amp;B59)</x:f>
        <x:v>3</x:v>
      </x:c>
      <x:c r="E59" s="107" t="n">
        <x:f>SUMIFS('Chi tiet HK1'!$L$8:$L$37,'Chi tiet HK1'!$D$8:$D$37,"Đồ án",'Chi tiet HK1'!$E$8:$E$37,"&lt;="&amp;B59,'Chi tiet HK1'!$F$8:$F$37,"&gt;="&amp;B59)</x:f>
        <x:v>5</x:v>
      </x:c>
      <x:c r="F59" s="107" t="n">
        <x:f>$O$48</x:f>
        <x:v>2</x:v>
      </x:c>
      <x:c r="G59" s="107" t="n">
        <x:f>SUM(D59:F59)</x:f>
        <x:v>10</x:v>
      </x:c>
      <x:c r="H59" s="107" t="n">
        <x:f>$O$47-G59</x:f>
        <x:v>0</x:v>
      </x:c>
      <x:c r="I59" s="111" t="str">
        <x:f>IF($O$53&gt;0,"Thiếu lịch",IF(G59&gt;$O$47,"Quá tải","Trong tải"))</x:f>
        <x:v>Trong tải</x:v>
      </x:c>
      <x:c r="J59" s="92"/>
      <x:c r="K59" s="109" t="str">
        <x:v>M04 / tuần 16</x:v>
      </x:c>
      <x:c r="L59" s="109"/>
      <x:c r="M59" s="109"/>
      <x:c r="N59" s="109" t="str">
        <x:v>M03, C09, C10, P13, P14, P15, P16</x:v>
      </x:c>
      <x:c r="O59" s="109"/>
      <x:c r="P59" s="109"/>
      <x:c r="Q59" s="109"/>
      <x:c r="R59" s="109"/>
      <x:c r="S59" s="109"/>
      <x:c r="T59" s="109"/>
      <x:c r="U59" s="109"/>
      <x:c r="V59" s="109"/>
      <x:c r="W59" s="109"/>
      <x:c r="X59" s="109" t="str">
        <x:f>IF((IF($E$38="Complete",0,1)+IF($E$18="Complete",0,1)+IF($E$19="Complete",0,1)+IF($E$32="Complete",0,1)+IF($E$33="Complete",0,1)+IF($E$34="Complete",0,1)+IF($E$35="Complete",0,1))=0,"Sẵn sàng review","Còn "&amp;(IF($E$38="Complete",0,1)+IF($E$18="Complete",0,1)+IF($E$19="Complete",0,1)+IF($E$32="Complete",0,1)+IF($E$33="Complete",0,1)+IF($E$34="Complete",0,1)+IF($E$35="Complete",0,1))&amp;" mục chưa đạt")</x:f>
        <x:v>Còn 7 mục chưa đạt</x:v>
      </x:c>
      <x:c r="Y59" s="109"/>
      <x:c r="Z59" s="109"/>
      <x:c r="AA59" s="109"/>
      <x:c r="AB59" s="109"/>
      <x:c r="AC59" s="109"/>
      <x:c r="AD59" s="109"/>
    </x:row>
    <x:row r="60" ht="23" customHeight="1">
      <x:c r="B60" s="102" t="n">
        <x:v>13</x:v>
      </x:c>
      <x:c r="C60" s="104" t="n">
        <x:f>$H$6+(B60-1)*7</x:f>
        <x:v>46384</x:v>
      </x:c>
      <x:c r="D60" s="106" t="n">
        <x:f>SUMIFS('Chi tiet HK1'!$L$8:$L$37,'Chi tiet HK1'!$D$8:$D$37,"Học CA",'Chi tiet HK1'!$E$8:$E$37,"&lt;="&amp;B60,'Chi tiet HK1'!$F$8:$F$37,"&gt;="&amp;B60)</x:f>
        <x:v>2</x:v>
      </x:c>
      <x:c r="E60" s="106" t="n">
        <x:f>SUMIFS('Chi tiet HK1'!$L$8:$L$37,'Chi tiet HK1'!$D$8:$D$37,"Đồ án",'Chi tiet HK1'!$E$8:$E$37,"&lt;="&amp;B60,'Chi tiet HK1'!$F$8:$F$37,"&gt;="&amp;B60)</x:f>
        <x:v>6</x:v>
      </x:c>
      <x:c r="F60" s="106" t="n">
        <x:f>$O$48</x:f>
        <x:v>2</x:v>
      </x:c>
      <x:c r="G60" s="106" t="n">
        <x:f>SUM(D60:F60)</x:f>
        <x:v>10</x:v>
      </x:c>
      <x:c r="H60" s="106" t="n">
        <x:f>$O$47-G60</x:f>
        <x:v>0</x:v>
      </x:c>
      <x:c r="I60" s="110" t="str">
        <x:f>IF($O$53&gt;0,"Thiếu lịch",IF(G60&gt;$O$47,"Quá tải","Trong tải"))</x:f>
        <x:v>Trong tải</x:v>
      </x:c>
      <x:c r="J60" s="92"/>
      <x:c r="K60" s="92"/>
      <x:c r="L60" s="92"/>
      <x:c r="M60" s="92"/>
      <x:c r="N60" s="92"/>
      <x:c r="O60" s="92"/>
      <x:c r="P60" s="92"/>
      <x:c r="Q60" s="92"/>
      <x:c r="R60" s="92"/>
      <x:c r="S60" s="92"/>
      <x:c r="T60" s="92"/>
      <x:c r="U60" s="92"/>
      <x:c r="V60" s="92"/>
      <x:c r="W60" s="92"/>
      <x:c r="X60" s="92"/>
      <x:c r="Y60" s="92"/>
      <x:c r="Z60" s="92"/>
      <x:c r="AA60" s="92"/>
      <x:c r="AB60" s="92"/>
      <x:c r="AC60" s="92"/>
      <x:c r="AD60" s="92"/>
    </x:row>
    <x:row r="61" ht="23" customHeight="1">
      <x:c r="B61" s="103" t="n">
        <x:v>14</x:v>
      </x:c>
      <x:c r="C61" s="105" t="n">
        <x:f>$H$6+(B61-1)*7</x:f>
        <x:v>46391</x:v>
      </x:c>
      <x:c r="D61" s="107" t="n">
        <x:f>SUMIFS('Chi tiet HK1'!$L$8:$L$37,'Chi tiet HK1'!$D$8:$D$37,"Học CA",'Chi tiet HK1'!$E$8:$E$37,"&lt;="&amp;B61,'Chi tiet HK1'!$F$8:$F$37,"&gt;="&amp;B61)</x:f>
        <x:v>2</x:v>
      </x:c>
      <x:c r="E61" s="107" t="n">
        <x:f>SUMIFS('Chi tiet HK1'!$L$8:$L$37,'Chi tiet HK1'!$D$8:$D$37,"Đồ án",'Chi tiet HK1'!$E$8:$E$37,"&lt;="&amp;B61,'Chi tiet HK1'!$F$8:$F$37,"&gt;="&amp;B61)</x:f>
        <x:v>6</x:v>
      </x:c>
      <x:c r="F61" s="107" t="n">
        <x:f>$O$48</x:f>
        <x:v>2</x:v>
      </x:c>
      <x:c r="G61" s="107" t="n">
        <x:f>SUM(D61:F61)</x:f>
        <x:v>10</x:v>
      </x:c>
      <x:c r="H61" s="107" t="n">
        <x:f>$O$47-G61</x:f>
        <x:v>0</x:v>
      </x:c>
      <x:c r="I61" s="111" t="str">
        <x:f>IF($O$53&gt;0,"Thiếu lịch",IF(G61&gt;$O$47,"Quá tải","Trong tải"))</x:f>
        <x:v>Trong tải</x:v>
      </x:c>
      <x:c r="J61" s="92"/>
      <x:c r="K61" s="112" t="str">
        <x:v>Mốc chỉ sẵn sàng khi mọi mục phụ thuộc được đặt Complete; kết quả review vẫn do bạn xác nhận. Lưu bằng chứng trước khi hoàn thành. Gantt và KPI dùng trạng thái gốc của template. Giữ thứ tự/ID các dòng; chỉnh tuần và giờ ở Chi tiet HK1 để đổi lịch.</x:v>
      </x:c>
      <x:c r="L61" s="112"/>
      <x:c r="M61" s="112"/>
      <x:c r="N61" s="112"/>
      <x:c r="O61" s="112"/>
      <x:c r="P61" s="112"/>
      <x:c r="Q61" s="112"/>
      <x:c r="R61" s="112"/>
      <x:c r="S61" s="112"/>
      <x:c r="T61" s="112"/>
      <x:c r="U61" s="112"/>
      <x:c r="V61" s="112"/>
      <x:c r="W61" s="112"/>
      <x:c r="X61" s="112"/>
      <x:c r="Y61" s="112"/>
      <x:c r="Z61" s="112"/>
      <x:c r="AA61" s="112"/>
      <x:c r="AB61" s="112"/>
      <x:c r="AC61" s="112"/>
      <x:c r="AD61" s="112"/>
    </x:row>
    <x:row r="62" ht="23" customHeight="1">
      <x:c r="B62" s="102" t="n">
        <x:v>15</x:v>
      </x:c>
      <x:c r="C62" s="104" t="n">
        <x:f>$H$6+(B62-1)*7</x:f>
        <x:v>46398</x:v>
      </x:c>
      <x:c r="D62" s="106" t="n">
        <x:f>SUMIFS('Chi tiet HK1'!$L$8:$L$37,'Chi tiet HK1'!$D$8:$D$37,"Học CA",'Chi tiet HK1'!$E$8:$E$37,"&lt;="&amp;B62,'Chi tiet HK1'!$F$8:$F$37,"&gt;="&amp;B62)</x:f>
        <x:v>2</x:v>
      </x:c>
      <x:c r="E62" s="106" t="n">
        <x:f>SUMIFS('Chi tiet HK1'!$L$8:$L$37,'Chi tiet HK1'!$D$8:$D$37,"Đồ án",'Chi tiet HK1'!$E$8:$E$37,"&lt;="&amp;B62,'Chi tiet HK1'!$F$8:$F$37,"&gt;="&amp;B62)</x:f>
        <x:v>6</x:v>
      </x:c>
      <x:c r="F62" s="106" t="n">
        <x:f>$O$48</x:f>
        <x:v>2</x:v>
      </x:c>
      <x:c r="G62" s="106" t="n">
        <x:f>SUM(D62:F62)</x:f>
        <x:v>10</x:v>
      </x:c>
      <x:c r="H62" s="106" t="n">
        <x:f>$O$47-G62</x:f>
        <x:v>0</x:v>
      </x:c>
      <x:c r="I62" s="110" t="str">
        <x:f>IF($O$53&gt;0,"Thiếu lịch",IF(G62&gt;$O$47,"Quá tải","Trong tải"))</x:f>
        <x:v>Trong tải</x:v>
      </x:c>
      <x:c r="J62" s="92"/>
      <x:c r="K62" s="112"/>
      <x:c r="L62" s="112"/>
      <x:c r="M62" s="112"/>
      <x:c r="N62" s="112"/>
      <x:c r="O62" s="112"/>
      <x:c r="P62" s="112"/>
      <x:c r="Q62" s="112"/>
      <x:c r="R62" s="112"/>
      <x:c r="S62" s="112"/>
      <x:c r="T62" s="112"/>
      <x:c r="U62" s="112"/>
      <x:c r="V62" s="112"/>
      <x:c r="W62" s="112"/>
      <x:c r="X62" s="112"/>
      <x:c r="Y62" s="112"/>
      <x:c r="Z62" s="112"/>
      <x:c r="AA62" s="112"/>
      <x:c r="AB62" s="112"/>
      <x:c r="AC62" s="112"/>
      <x:c r="AD62" s="112"/>
    </x:row>
    <x:row r="63" ht="23" customHeight="1">
      <x:c r="B63" s="103" t="n">
        <x:v>16</x:v>
      </x:c>
      <x:c r="C63" s="105" t="n">
        <x:f>$H$6+(B63-1)*7</x:f>
        <x:v>46405</x:v>
      </x:c>
      <x:c r="D63" s="107" t="n">
        <x:f>SUMIFS('Chi tiet HK1'!$L$8:$L$37,'Chi tiet HK1'!$D$8:$D$37,"Học CA",'Chi tiet HK1'!$E$8:$E$37,"&lt;="&amp;B63,'Chi tiet HK1'!$F$8:$F$37,"&gt;="&amp;B63)</x:f>
        <x:v>2</x:v>
      </x:c>
      <x:c r="E63" s="107" t="n">
        <x:f>SUMIFS('Chi tiet HK1'!$L$8:$L$37,'Chi tiet HK1'!$D$8:$D$37,"Đồ án",'Chi tiet HK1'!$E$8:$E$37,"&lt;="&amp;B63,'Chi tiet HK1'!$F$8:$F$37,"&gt;="&amp;B63)</x:f>
        <x:v>6</x:v>
      </x:c>
      <x:c r="F63" s="107" t="n">
        <x:f>$O$48</x:f>
        <x:v>2</x:v>
      </x:c>
      <x:c r="G63" s="107" t="n">
        <x:f>SUM(D63:F63)</x:f>
        <x:v>10</x:v>
      </x:c>
      <x:c r="H63" s="107" t="n">
        <x:f>$O$47-G63</x:f>
        <x:v>0</x:v>
      </x:c>
      <x:c r="I63" s="111" t="str">
        <x:f>IF($O$53&gt;0,"Thiếu lịch",IF(G63&gt;$O$47,"Quá tải","Trong tải"))</x:f>
        <x:v>Trong tải</x:v>
      </x:c>
      <x:c r="J63" s="92"/>
      <x:c r="K63" s="112"/>
      <x:c r="L63" s="112"/>
      <x:c r="M63" s="112"/>
      <x:c r="N63" s="112"/>
      <x:c r="O63" s="112"/>
      <x:c r="P63" s="112"/>
      <x:c r="Q63" s="112"/>
      <x:c r="R63" s="112"/>
      <x:c r="S63" s="112"/>
      <x:c r="T63" s="112"/>
      <x:c r="U63" s="112"/>
      <x:c r="V63" s="112"/>
      <x:c r="W63" s="112"/>
      <x:c r="X63" s="112"/>
      <x:c r="Y63" s="112"/>
      <x:c r="Z63" s="112"/>
      <x:c r="AA63" s="112"/>
      <x:c r="AB63" s="112"/>
      <x:c r="AC63" s="112"/>
      <x:c r="AD63" s="112"/>
    </x:row>
    <x:row r="64">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2"/>
      <x:c r="Z64" s="92"/>
      <x:c r="AA64" s="92"/>
      <x:c r="AB64" s="92"/>
      <x:c r="AC64" s="92"/>
      <x:c r="AD64" s="92"/>
    </x:row>
    <x:row r="65">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2"/>
      <x:c r="Z65" s="92"/>
      <x:c r="AA65" s="92"/>
      <x:c r="AB65" s="92"/>
      <x:c r="AC65" s="92"/>
      <x:c r="AD65" s="92"/>
    </x:row>
    <x:row r="66" ht="20" customHeight="1">
      <x:c r="B66" s="113" t="str">
        <x:v>Đầu ra HK1: giải thích được luồng CPU; baseline RV32 chạy bare-metal; bộ đo cycle; reference và 2 benchmark dot-product/complex multiply; profiling ban đầu; báo cáo và hướng HK2. Core và kit chưa chốt. Thời gian là ước lượng cho người mới; đánh giá lại sau 2 tuần.</x:v>
      </x:c>
      <x:c r="C66" s="113"/>
      <x:c r="D66" s="113"/>
      <x:c r="E66" s="113"/>
      <x:c r="F66" s="113"/>
      <x:c r="G66" s="113"/>
      <x:c r="H66" s="113"/>
      <x:c r="I66" s="113"/>
      <x:c r="J66" s="113"/>
      <x:c r="K66" s="113"/>
      <x:c r="L66" s="113"/>
      <x:c r="M66" s="113"/>
      <x:c r="N66" s="113"/>
      <x:c r="O66" s="113"/>
      <x:c r="P66" s="113"/>
      <x:c r="Q66" s="113"/>
      <x:c r="R66" s="113"/>
      <x:c r="S66" s="113"/>
      <x:c r="T66" s="113"/>
      <x:c r="U66" s="113"/>
      <x:c r="V66" s="113"/>
      <x:c r="W66" s="113"/>
      <x:c r="X66" s="113"/>
      <x:c r="Y66" s="113"/>
      <x:c r="Z66" s="113"/>
      <x:c r="AA66" s="113"/>
      <x:c r="AB66" s="113"/>
      <x:c r="AC66" s="113"/>
      <x:c r="AD66" s="113"/>
    </x:row>
    <x:row r="67" ht="20" customHeight="1">
      <x:c r="B67" s="113"/>
      <x:c r="C67" s="113"/>
      <x:c r="D67" s="113"/>
      <x:c r="E67" s="113"/>
      <x:c r="F67" s="113"/>
      <x:c r="G67" s="113"/>
      <x:c r="H67" s="113"/>
      <x:c r="I67" s="113"/>
      <x:c r="J67" s="113"/>
      <x:c r="K67" s="113"/>
      <x:c r="L67" s="113"/>
      <x:c r="M67" s="113"/>
      <x:c r="N67" s="113"/>
      <x:c r="O67" s="113"/>
      <x:c r="P67" s="113"/>
      <x:c r="Q67" s="113"/>
      <x:c r="R67" s="113"/>
      <x:c r="S67" s="113"/>
      <x:c r="T67" s="113"/>
      <x:c r="U67" s="113"/>
      <x:c r="V67" s="113"/>
      <x:c r="W67" s="113"/>
      <x:c r="X67" s="113"/>
      <x:c r="Y67" s="113"/>
      <x:c r="Z67" s="113"/>
      <x:c r="AA67" s="113"/>
      <x:c r="AB67" s="113"/>
      <x:c r="AC67" s="113"/>
      <x:c r="AD67" s="113"/>
    </x:row>
    <x:row r="68" ht="20" customHeight="1">
      <x:c r="B68" s="113"/>
      <x:c r="C68" s="113"/>
      <x:c r="D68" s="113"/>
      <x:c r="E68" s="113"/>
      <x:c r="F68" s="113"/>
      <x:c r="G68" s="113"/>
      <x:c r="H68" s="113"/>
      <x:c r="I68" s="113"/>
      <x:c r="J68" s="113"/>
      <x:c r="K68" s="113"/>
      <x:c r="L68" s="113"/>
      <x:c r="M68" s="113"/>
      <x:c r="N68" s="113"/>
      <x:c r="O68" s="113"/>
      <x:c r="P68" s="113"/>
      <x:c r="Q68" s="113"/>
      <x:c r="R68" s="113"/>
      <x:c r="S68" s="113"/>
      <x:c r="T68" s="113"/>
      <x:c r="U68" s="113"/>
      <x:c r="V68" s="113"/>
      <x:c r="W68" s="113"/>
      <x:c r="X68" s="113"/>
      <x:c r="Y68" s="113"/>
      <x:c r="Z68" s="113"/>
      <x:c r="AA68" s="113"/>
      <x:c r="AB68" s="113"/>
      <x:c r="AC68" s="113"/>
      <x:c r="AD68" s="113"/>
    </x:row>
  </x:sheetData>
  <x:mergeCells>
    <x:mergeCell ref="B8:I8"/>
    <x:mergeCell ref="K8:AD8"/>
    <x:mergeCell ref="B41:AD42"/>
    <x:mergeCell ref="S6:V6"/>
    <x:mergeCell ref="W5:Z5"/>
    <x:mergeCell ref="W6:Z6"/>
    <x:mergeCell ref="AA5:AD5"/>
    <x:mergeCell ref="AA6:AD6"/>
    <x:mergeCell ref="C6:E6"/>
    <x:mergeCell ref="H6:I6"/>
    <x:mergeCell ref="K5:N5"/>
    <x:mergeCell ref="K6:N6"/>
    <x:mergeCell ref="O5:R5"/>
    <x:mergeCell ref="O6:R6"/>
    <x:mergeCell ref="F6:G6"/>
    <x:mergeCell ref="B2:R2"/>
    <x:mergeCell ref="S2:AD2"/>
    <x:mergeCell ref="B4:I4"/>
    <x:mergeCell ref="K4:AD4"/>
    <x:mergeCell ref="C5:E5"/>
    <x:mergeCell ref="H5:I5"/>
    <x:mergeCell ref="S5:V5"/>
    <x:mergeCell ref="F5:G5"/>
    <x:mergeCell ref="B45:I45"/>
    <x:mergeCell ref="K45:AD45"/>
    <x:mergeCell ref="K47:N47"/>
    <x:mergeCell ref="O47:P47"/>
    <x:mergeCell ref="K48:N48"/>
    <x:mergeCell ref="O48:P48"/>
    <x:mergeCell ref="K49:N49"/>
    <x:mergeCell ref="O49:P49"/>
    <x:mergeCell ref="K50:N50"/>
    <x:mergeCell ref="O50:P50"/>
    <x:mergeCell ref="K51:N51"/>
    <x:mergeCell ref="O51:P51"/>
    <x:mergeCell ref="K52:N52"/>
    <x:mergeCell ref="O52:P52"/>
    <x:mergeCell ref="K53:N53"/>
    <x:mergeCell ref="O53:P53"/>
    <x:mergeCell ref="R47:AD50"/>
    <x:mergeCell ref="R52:AD53"/>
    <x:mergeCell ref="K55:M55"/>
    <x:mergeCell ref="N55:W55"/>
    <x:mergeCell ref="X55:AD55"/>
    <x:mergeCell ref="K56:M56"/>
    <x:mergeCell ref="N56:W56"/>
    <x:mergeCell ref="X56:AD56"/>
    <x:mergeCell ref="K57:M57"/>
    <x:mergeCell ref="N57:W57"/>
    <x:mergeCell ref="X57:AD57"/>
    <x:mergeCell ref="K58:M58"/>
    <x:mergeCell ref="N58:W58"/>
    <x:mergeCell ref="X58:AD58"/>
    <x:mergeCell ref="K59:M59"/>
    <x:mergeCell ref="N59:W59"/>
    <x:mergeCell ref="X59:AD59"/>
    <x:mergeCell ref="K61:AD63"/>
    <x:mergeCell ref="B66:AD68"/>
  </x:mergeCells>
  <x:conditionalFormatting sqref="E10:E39">
    <x:cfRule type="expression" dxfId="10" priority="1">
      <x:formula>$E10="Complete"</x:formula>
    </x:cfRule>
    <x:cfRule type="expression" dxfId="9" priority="2">
      <x:formula>$E10="In Progress"</x:formula>
    </x:cfRule>
    <x:cfRule type="expression" dxfId="8" priority="3">
      <x:formula>$E10="At Risk"</x:formula>
    </x:cfRule>
    <x:cfRule type="expression" dxfId="7" priority="4">
      <x:formula>$E10="Not Started"</x:formula>
    </x:cfRule>
  </x:conditionalFormatting>
  <x:conditionalFormatting sqref="F10:F39">
    <x:cfRule type="expression" dxfId="6" priority="5">
      <x:formula>$F10="P0"</x:formula>
    </x:cfRule>
    <x:cfRule type="expression" dxfId="5" priority="6">
      <x:formula>$F10="P1"</x:formula>
    </x:cfRule>
    <x:cfRule type="expression" dxfId="4" priority="7">
      <x:formula>$F10="P2"</x:formula>
    </x:cfRule>
  </x:conditionalFormatting>
  <x:conditionalFormatting sqref="K10:AD39">
    <x:cfRule type="expression" dxfId="3" priority="8">
      <x:formula>AND(K10=1,$E10="Complete")</x:formula>
    </x:cfRule>
    <x:cfRule type="expression" dxfId="2" priority="9">
      <x:formula>AND(K10=1,$E10="In Progress")</x:formula>
    </x:cfRule>
    <x:cfRule type="expression" dxfId="1" priority="10">
      <x:formula>AND(K10=1,$E10="At Risk")</x:formula>
    </x:cfRule>
    <x:cfRule type="expression" dxfId="0" priority="11">
      <x:formula>AND(K10=1,$E10="Not Started")</x:formula>
    </x:cfRule>
  </x:conditionalFormatting>
  <x:conditionalFormatting sqref="O52:P53">
    <x:cfRule type="expression" dxfId="12" priority="12">
      <x:formula>O52&gt;0</x:formula>
    </x:cfRule>
  </x:conditionalFormatting>
  <x:conditionalFormatting sqref="I48:I63">
    <x:cfRule type="expression" dxfId="13" priority="13">
      <x:formula>$I48="Quá tải"</x:formula>
    </x:cfRule>
    <x:cfRule type="expression" dxfId="14" priority="14">
      <x:formula>$I48="Thiếu lịch"</x:formula>
    </x:cfRule>
  </x:conditionalFormatting>
  <x:dataValidations count="6">
    <x:dataValidation type="list" sqref="B10:B39">
      <x:formula1>"CA 1A,CA 1B,Đồ án 1A,Đồ án 1B,Mốc 1A,Mốc 1B"</x:formula1>
    </x:dataValidation>
    <x:dataValidation type="list" sqref="D10:D39">
      <x:formula1>"Nguyễn Hải Minh"</x:formula1>
    </x:dataValidation>
    <x:dataValidation type="list" sqref="E10:E39">
      <x:formula1>"Not Started,In Progress,At Risk,Complete"</x:formula1>
    </x:dataValidation>
    <x:dataValidation type="list" sqref="F10:F39">
      <x:formula1>"P0,P1,P2"</x:formula1>
    </x:dataValidation>
    <x:dataValidation type="whole" operator="between" sqref="O47">
      <x:formula1>1</x:formula1>
      <x:formula2>80</x:formula2>
    </x:dataValidation>
    <x:dataValidation type="whole" operator="between" sqref="O48">
      <x:formula1>0</x:formula1>
      <x:formula2>40</x:formula2>
    </x:dataValidation>
  </x:dataValidations>
  <x:pageMargins left="0.7" right="0.7" top="0.75" bottom="0.75" header="0.3" footer="0.3"/>
</x:worksheet>
</file>

<file path=xl/worksheets/sheet2.xml><?xml version="1.0" encoding="utf-8"?>
<x:worksheet xmlns:x="http://schemas.openxmlformats.org/spreadsheetml/2006/main">
  <x:sheetPr>
    <x:tabColor rgb="FF5E4CC7"/>
  </x:sheetPr>
  <x:sheetViews>
    <x:sheetView showGridLines="0" workbookViewId="0">
      <x:pane ySplit="7" topLeftCell="A8" activePane="bottomLeft" state="frozen"/>
    </x:sheetView>
  </x:sheetViews>
  <x:sheetFormatPr defaultRowHeight="15"/>
  <x:cols>
    <x:col min="1" max="1" width="3.299999952316284" hidden="0" customWidth="1"/>
    <x:col min="2" max="2" width="8" hidden="0" customWidth="1"/>
    <x:col min="3" max="3" width="12" hidden="0" customWidth="1"/>
    <x:col min="4" max="4" width="11" hidden="0" customWidth="1"/>
    <x:col min="5" max="5" width="9" hidden="0" customWidth="1"/>
    <x:col min="6" max="6" width="9" hidden="0" customWidth="1"/>
    <x:col min="7" max="7" width="10" hidden="0" customWidth="1"/>
    <x:col min="8" max="8" width="48" hidden="0" customWidth="1"/>
    <x:col min="9" max="9" width="48" hidden="0" customWidth="1"/>
    <x:col min="10" max="10" width="22" hidden="0" customWidth="1"/>
    <x:col min="11" max="11" width="22" hidden="0" customWidth="1"/>
    <x:col min="12" max="12" width="10" hidden="0" customWidth="1"/>
    <x:col min="13" max="13" width="32" hidden="0" customWidth="1"/>
    <x:col min="14" max="14" width="12" hidden="0" customWidth="1"/>
  </x:cols>
  <x:sheetData>
    <x:row r="2" ht="32" customHeight="1">
      <x:c r="B2" s="60" t="str">
        <x:v>Chi tiết HK1 và lộ trình Computer Architecture</x:v>
      </x:c>
      <x:c r="C2" s="60"/>
      <x:c r="D2" s="60"/>
      <x:c r="E2" s="60"/>
      <x:c r="F2" s="60"/>
      <x:c r="G2" s="60"/>
      <x:c r="H2" s="60"/>
      <x:c r="I2" s="60"/>
      <x:c r="J2" s="60"/>
      <x:c r="K2" s="60"/>
      <x:c r="L2" s="60"/>
      <x:c r="M2" s="60"/>
      <x:c r="N2" s="60"/>
    </x:row>
    <x:row r="3">
      <x:c r="B3" s="58"/>
      <x:c r="C3" s="58"/>
      <x:c r="D3" s="58"/>
      <x:c r="E3" s="58"/>
      <x:c r="F3" s="58"/>
      <x:c r="G3" s="58"/>
      <x:c r="H3" s="58"/>
      <x:c r="I3" s="58"/>
      <x:c r="J3" s="58"/>
      <x:c r="K3" s="58"/>
      <x:c r="L3" s="58"/>
      <x:c r="M3" s="58"/>
      <x:c r="N3" s="58"/>
    </x:row>
    <x:row r="4" ht="24" customHeight="1">
      <x:c r="B4" s="62" t="str">
        <x:v>Mỗi tuần: học một khái niệm, làm bài nhỏ, giải thích bằng lời của mình rồi lưu bằng chứng. Ô vàng là tuần/giờ có thể sửa; trạng thái cập nhật ở Project Plan. Giờ dự kiến phân bổ đều trong số tuần của mục; đây là ước lượng, cần cập nhật sau 2 tuần đầu. Mốc review có 0 giờ vì thời gian đã nằm trong công việc tuần tương ứng.</x:v>
      </x:c>
      <x:c r="C4" s="62"/>
      <x:c r="D4" s="62"/>
      <x:c r="E4" s="62"/>
      <x:c r="F4" s="62"/>
      <x:c r="G4" s="62"/>
      <x:c r="H4" s="62"/>
      <x:c r="I4" s="62"/>
      <x:c r="J4" s="62"/>
      <x:c r="K4" s="62"/>
      <x:c r="L4" s="62"/>
      <x:c r="M4" s="62"/>
      <x:c r="N4" s="62"/>
    </x:row>
    <x:row r="5" ht="24" customHeight="1">
      <x:c r="B5" s="62"/>
      <x:c r="C5" s="62"/>
      <x:c r="D5" s="62"/>
      <x:c r="E5" s="62"/>
      <x:c r="F5" s="62"/>
      <x:c r="G5" s="62"/>
      <x:c r="H5" s="62"/>
      <x:c r="I5" s="62"/>
      <x:c r="J5" s="62"/>
      <x:c r="K5" s="62"/>
      <x:c r="L5" s="62"/>
      <x:c r="M5" s="62"/>
      <x:c r="N5" s="62"/>
    </x:row>
    <x:row r="6">
      <x:c r="B6" s="58"/>
      <x:c r="C6" s="58"/>
      <x:c r="D6" s="58"/>
      <x:c r="E6" s="58"/>
      <x:c r="F6" s="58"/>
      <x:c r="G6" s="58"/>
      <x:c r="H6" s="58"/>
      <x:c r="I6" s="58"/>
      <x:c r="J6" s="58"/>
      <x:c r="K6" s="58"/>
      <x:c r="L6" s="58"/>
      <x:c r="M6" s="58"/>
      <x:c r="N6" s="58"/>
    </x:row>
    <x:row r="7" ht="32" customHeight="1">
      <x:c r="B7" s="66" t="str">
        <x:v>ID</x:v>
      </x:c>
      <x:c r="C7" s="66" t="str">
        <x:v>Đợt</x:v>
      </x:c>
      <x:c r="D7" s="66" t="str">
        <x:v>Loại</x:v>
      </x:c>
      <x:c r="E7" s="66" t="str">
        <x:v>Từ tuần</x:v>
      </x:c>
      <x:c r="F7" s="66" t="str">
        <x:v>Đến tuần</x:v>
      </x:c>
      <x:c r="G7" s="66" t="str">
        <x:v>Giờ dự kiến</x:v>
      </x:c>
      <x:c r="H7" s="66" t="str">
        <x:v>Học và thực hành</x:v>
      </x:c>
      <x:c r="I7" s="66" t="str">
        <x:v>Điều kiện hoàn thành</x:v>
      </x:c>
      <x:c r="J7" s="66" t="str">
        <x:v>Phụ thuộc</x:v>
      </x:c>
      <x:c r="K7" s="66" t="str">
        <x:v>Học liệu</x:v>
      </x:c>
      <x:c r="L7" s="66" t="str">
        <x:v>Giờ/tuần</x:v>
      </x:c>
      <x:c r="M7" s="66" t="str">
        <x:v>Bằng chứng / ghi chú</x:v>
      </x:c>
      <x:c r="N7" s="66" t="str">
        <x:v>Giờ thực tế</x:v>
      </x:c>
    </x:row>
    <x:row r="8" ht="82" customHeight="1">
      <x:c r="B8" s="77" t="str">
        <x:v>C01</x:v>
      </x:c>
      <x:c r="C8" s="77" t="str">
        <x:v>2026.1A</x:v>
      </x:c>
      <x:c r="D8" s="77" t="str">
        <x:v>Học CA</x:v>
      </x:c>
      <x:c r="E8" s="83" t="n">
        <x:v>1</x:v>
      </x:c>
      <x:c r="F8" s="83" t="n">
        <x:v>1</x:v>
      </x:c>
      <x:c r="G8" s="83" t="n">
        <x:v>4</x:v>
      </x:c>
      <x:c r="H8" s="71" t="str">
        <x:v>Học binary/hex, two's complement, signed/unsigned, bitwise, con trỏ và mảng C. Làm 8 bài ngắn, chạy một chương trình tổng mảng.</x:v>
      </x:c>
      <x:c r="I8" s="72" t="str">
        <x:v>Tự đổi biểu diễn số; giải thích overflow và địa chỉ phần tử mảng. Lưu bài giải và chương trình C có kết quả đúng.</x:v>
      </x:c>
      <x:c r="J8" s="70" t="str"/>
      <x:c r="K8" s="70" t="str">
        <x:v>R1</x:v>
      </x:c>
      <x:c r="L8" s="84" t="n">
        <x:f>IF(OR(NOT(ISNUMBER(E8)),NOT(ISNUMBER(F8)),NOT(ISNUMBER(G8)),F8&lt;E8),"",G8/(F8-E8+1))</x:f>
        <x:v>4</x:v>
      </x:c>
      <x:c r="M8" s="88"/>
      <x:c r="N8" s="86"/>
    </x:row>
    <x:row r="9" ht="82" customHeight="1">
      <x:c r="B9" s="79" t="str">
        <x:v>C02</x:v>
      </x:c>
      <x:c r="C9" s="79" t="str">
        <x:v>2026.1A</x:v>
      </x:c>
      <x:c r="D9" s="79" t="str">
        <x:v>Học CA</x:v>
      </x:c>
      <x:c r="E9" s="83" t="n">
        <x:v>2</x:v>
      </x:c>
      <x:c r="F9" s="83" t="n">
        <x:v>2</x:v>
      </x:c>
      <x:c r="G9" s="83" t="n">
        <x:v>4</x:v>
      </x:c>
      <x:c r="H9" s="74" t="str">
        <x:v>Học mux, adder, register, clock/reset và FSM. Đọc mô tả RTL; sửa một ALU nhỏ hoặc bộ đếm trong ví dụ, xem waveform.</x:v>
      </x:c>
      <x:c r="I9" s="75" t="str">
        <x:v>Phân biệt logic tổ hợp/tuần tự; chỉ ra thời điểm register đổi giá trị. Testbench của bài nhỏ đạt các ca đã liệt kê.</x:v>
      </x:c>
      <x:c r="J9" s="73" t="str">
        <x:v>C01</x:v>
      </x:c>
      <x:c r="K9" s="73" t="str">
        <x:v>R1; R3 bổ trợ</x:v>
      </x:c>
      <x:c r="L9" s="87" t="n">
        <x:f>IF(OR(NOT(ISNUMBER(E9)),NOT(ISNUMBER(F9)),NOT(ISNUMBER(G9)),F9&lt;E9),"",G9/(F9-E9+1))</x:f>
        <x:v>4</x:v>
      </x:c>
      <x:c r="M9" s="88"/>
      <x:c r="N9" s="86"/>
    </x:row>
    <x:row r="10" ht="82" customHeight="1">
      <x:c r="B10" s="77" t="str">
        <x:v>C03</x:v>
      </x:c>
      <x:c r="C10" s="77" t="str">
        <x:v>2026.1A</x:v>
      </x:c>
      <x:c r="D10" s="77" t="str">
        <x:v>Học CA</x:v>
      </x:c>
      <x:c r="E10" s="83" t="n">
        <x:v>3</x:v>
      </x:c>
      <x:c r="F10" s="83" t="n">
        <x:v>4</x:v>
      </x:c>
      <x:c r="G10" s="83" t="n">
        <x:v>8</x:v>
      </x:c>
      <x:c r="H10" s="71" t="str">
        <x:v>Học PC, register file, load/store, add/sub, shift và branch. Dùng Ripes để step đoạn assembly tính tổng mảng và theo dõi register/memory.</x:v>
      </x:c>
      <x:c r="I10" s="72" t="str">
        <x:v>Tự viết vòng lặp tổng mảng; dự đoán PC và giá trị thanh ghi cho 10 lệnh liên tiếp, rồi kiểm tra bằng simulator.</x:v>
      </x:c>
      <x:c r="J10" s="70" t="str">
        <x:v>C01, C02</x:v>
      </x:c>
      <x:c r="K10" s="70" t="str">
        <x:v>R1; R2; R4 tra cứu</x:v>
      </x:c>
      <x:c r="L10" s="84" t="n">
        <x:f>IF(OR(NOT(ISNUMBER(E10)),NOT(ISNUMBER(F10)),NOT(ISNUMBER(G10)),F10&lt;E10),"",G10/(F10-E10+1))</x:f>
        <x:v>4</x:v>
      </x:c>
      <x:c r="M10" s="88"/>
      <x:c r="N10" s="86"/>
    </x:row>
    <x:row r="11" ht="82" customHeight="1">
      <x:c r="B11" s="79" t="str">
        <x:v>C04</x:v>
      </x:c>
      <x:c r="C11" s="79" t="str">
        <x:v>2026.1A</x:v>
      </x:c>
      <x:c r="D11" s="79" t="str">
        <x:v>Học CA</x:v>
      </x:c>
      <x:c r="E11" s="83" t="n">
        <x:v>5</x:v>
      </x:c>
      <x:c r="F11" s="83" t="n">
        <x:v>5</x:v>
      </x:c>
      <x:c r="G11" s="83" t="n">
        <x:v>4</x:v>
      </x:c>
      <x:c r="H11" s="74" t="str">
        <x:v>Học call/return, stack, caller/callee-saved registers. Theo dõi C thành assembly, object, ELF; nhận biết startup và linker script.</x:v>
      </x:c>
      <x:c r="I11" s="75" t="str">
        <x:v>Giải thích một hàm C gọi hàm khác: đối số, giá trị trả về, stack. Chỉ ra vùng code/data/stack trong map hoặc ELF.</x:v>
      </x:c>
      <x:c r="J11" s="73" t="str">
        <x:v>C03</x:v>
      </x:c>
      <x:c r="K11" s="73" t="str">
        <x:v>R1</x:v>
      </x:c>
      <x:c r="L11" s="87" t="n">
        <x:f>IF(OR(NOT(ISNUMBER(E11)),NOT(ISNUMBER(F11)),NOT(ISNUMBER(G11)),F11&lt;E11),"",G11/(F11-E11+1))</x:f>
        <x:v>4</x:v>
      </x:c>
      <x:c r="M11" s="88"/>
      <x:c r="N11" s="86"/>
    </x:row>
    <x:row r="12" ht="82" customHeight="1">
      <x:c r="B12" s="77" t="str">
        <x:v>C05</x:v>
      </x:c>
      <x:c r="C12" s="77" t="str">
        <x:v>2026.1A</x:v>
      </x:c>
      <x:c r="D12" s="77" t="str">
        <x:v>Học CA</x:v>
      </x:c>
      <x:c r="E12" s="83" t="n">
        <x:v>6</x:v>
      </x:c>
      <x:c r="F12" s="83" t="n">
        <x:v>6</x:v>
      </x:c>
      <x:c r="G12" s="83" t="n">
        <x:v>4</x:v>
      </x:c>
      <x:c r="H12" s="71" t="str">
        <x:v>Học single-cycle và multi-cycle ở mức khái niệm. Vẽ đường dữ liệu cho add, load và branch; nối tín hiệu điều khiển với thao tác.</x:v>
      </x:c>
      <x:c r="I12" s="72" t="str">
        <x:v>Tự vẽ và giải thích fetch/decode/execute/memory/write-back cho 3 lệnh; phân biệt ISA với microarchitecture.</x:v>
      </x:c>
      <x:c r="J12" s="70" t="str">
        <x:v>C03</x:v>
      </x:c>
      <x:c r="K12" s="70" t="str">
        <x:v>R1; R2</x:v>
      </x:c>
      <x:c r="L12" s="84" t="n">
        <x:f>IF(OR(NOT(ISNUMBER(E12)),NOT(ISNUMBER(F12)),NOT(ISNUMBER(G12)),F12&lt;E12),"",G12/(F12-E12+1))</x:f>
        <x:v>4</x:v>
      </x:c>
      <x:c r="M12" s="88"/>
      <x:c r="N12" s="86"/>
    </x:row>
    <x:row r="13" ht="82" customHeight="1">
      <x:c r="B13" s="79" t="str">
        <x:v>C06</x:v>
      </x:c>
      <x:c r="C13" s="79" t="str">
        <x:v>2026.1A</x:v>
      </x:c>
      <x:c r="D13" s="79" t="str">
        <x:v>Học CA</x:v>
      </x:c>
      <x:c r="E13" s="83" t="n">
        <x:v>7</x:v>
      </x:c>
      <x:c r="F13" s="83" t="n">
        <x:v>8</x:v>
      </x:c>
      <x:c r="G13" s="83" t="n">
        <x:v>8</x:v>
      </x:c>
      <x:c r="H13" s="74" t="str">
        <x:v>Học pipeline, data/control hazard, stall và forwarding. Chạy 2 đoạn lệnh trên các mô hình Ripes; tính cycle và CPI trước khi đo.</x:v>
      </x:c>
      <x:c r="I13" s="75" t="str">
        <x:v>Chỉ ra ít nhất một data hazard và một branch hazard; giải thích chênh lệch cycle. Nêu rõ mô hình Ripes không phải timing của core FPGA đã chọn.</x:v>
      </x:c>
      <x:c r="J13" s="73" t="str">
        <x:v>C05</x:v>
      </x:c>
      <x:c r="K13" s="73" t="str">
        <x:v>R1; R2</x:v>
      </x:c>
      <x:c r="L13" s="87" t="n">
        <x:f>IF(OR(NOT(ISNUMBER(E13)),NOT(ISNUMBER(F13)),NOT(ISNUMBER(G13)),F13&lt;E13),"",G13/(F13-E13+1))</x:f>
        <x:v>4</x:v>
      </x:c>
      <x:c r="M13" s="88"/>
      <x:c r="N13" s="86"/>
    </x:row>
    <x:row r="14" ht="82" customHeight="1">
      <x:c r="B14" s="77" t="str">
        <x:v>C07</x:v>
      </x:c>
      <x:c r="C14" s="77" t="str">
        <x:v>2026.1B</x:v>
      </x:c>
      <x:c r="D14" s="77" t="str">
        <x:v>Học CA</x:v>
      </x:c>
      <x:c r="E14" s="83" t="n">
        <x:v>9</x:v>
      </x:c>
      <x:c r="F14" s="83" t="n">
        <x:v>10</x:v>
      </x:c>
      <x:c r="G14" s="83" t="n">
        <x:v>6</x:v>
      </x:c>
      <x:c r="H14" s="71" t="str">
        <x:v>Học memory hierarchy, cache cơ bản, BRAM latency và memory-mapped I/O. Đọc memory map và một giao dịch request/response của core.</x:v>
      </x:c>
      <x:c r="I14" s="72" t="str">
        <x:v>Giải thích một load và một UART write đi qua hệ thống; chỉ ra wait-state. Mô tả cấu hình bộ nhớ đang dùng trong baseline.</x:v>
      </x:c>
      <x:c r="J14" s="70" t="str">
        <x:v>C06</x:v>
      </x:c>
      <x:c r="K14" s="70" t="str">
        <x:v>R1; R5 hoặc R6</x:v>
      </x:c>
      <x:c r="L14" s="84" t="n">
        <x:f>IF(OR(NOT(ISNUMBER(E14)),NOT(ISNUMBER(F14)),NOT(ISNUMBER(G14)),F14&lt;E14),"",G14/(F14-E14+1))</x:f>
        <x:v>3</x:v>
      </x:c>
      <x:c r="M14" s="88"/>
      <x:c r="N14" s="86"/>
    </x:row>
    <x:row r="15" ht="82" customHeight="1">
      <x:c r="B15" s="79" t="str">
        <x:v>C08</x:v>
      </x:c>
      <x:c r="C15" s="79" t="str">
        <x:v>2026.1B</x:v>
      </x:c>
      <x:c r="D15" s="79" t="str">
        <x:v>Học CA</x:v>
      </x:c>
      <x:c r="E15" s="83" t="n">
        <x:v>11</x:v>
      </x:c>
      <x:c r="F15" s="83" t="n">
        <x:v>12</x:v>
      </x:c>
      <x:c r="G15" s="83" t="n">
        <x:v>6</x:v>
      </x:c>
      <x:c r="H15" s="74" t="str">
        <x:v>Học Q-format, sign extension, độ rộng tích và accumulator; quy tắc rounding, saturation/wrap. Làm ví dụ số nhỏ rồi kiểm tra bằng Python.</x:v>
      </x:c>
      <x:c r="I15" s="75" t="str">
        <x:v>Giải thích mỗi bước đổi độ rộng của một phép nhân/tích lũy; viết ca biên âm/dương/overflow. Ngữ nghĩa C và reference nhất quán.</x:v>
      </x:c>
      <x:c r="J15" s="73" t="str">
        <x:v>C01, C04</x:v>
      </x:c>
      <x:c r="K15" s="73" t="str">
        <x:v>R4 về phép toán; D1 mục 2.2</x:v>
      </x:c>
      <x:c r="L15" s="87" t="n">
        <x:f>IF(OR(NOT(ISNUMBER(E15)),NOT(ISNUMBER(F15)),NOT(ISNUMBER(G15)),F15&lt;E15),"",G15/(F15-E15+1))</x:f>
        <x:v>3</x:v>
      </x:c>
      <x:c r="M15" s="88"/>
      <x:c r="N15" s="86"/>
    </x:row>
    <x:row r="16" ht="82" customHeight="1">
      <x:c r="B16" s="77" t="str">
        <x:v>C09</x:v>
      </x:c>
      <x:c r="C16" s="77" t="str">
        <x:v>2026.1B</x:v>
      </x:c>
      <x:c r="D16" s="77" t="str">
        <x:v>Học CA</x:v>
      </x:c>
      <x:c r="E16" s="83" t="n">
        <x:v>13</x:v>
      </x:c>
      <x:c r="F16" s="83" t="n">
        <x:v>14</x:v>
      </x:c>
      <x:c r="G16" s="83" t="n">
        <x:v>4</x:v>
      </x:c>
      <x:c r="H16" s="71" t="str">
        <x:v>Ôn instruction count, cycle, CPI, thời gian = cycle/clock và Amdahl. Đọc timing/resource report; phân biệt clock đang chạy với Fmax ước lượng.</x:v>
      </x:c>
      <x:c r="I16" s="72" t="str">
        <x:v>Tính speedup có cả clock; giải thích một trường hợp giảm cycle mà thời gian tăng. Chỉ ra vùng đo và overhead trong benchmark của mình.</x:v>
      </x:c>
      <x:c r="J16" s="70" t="str">
        <x:v>C06, C07</x:v>
      </x:c>
      <x:c r="K16" s="70" t="str">
        <x:v>R1; tài liệu tool của board</x:v>
      </x:c>
      <x:c r="L16" s="84" t="n">
        <x:f>IF(OR(NOT(ISNUMBER(E16)),NOT(ISNUMBER(F16)),NOT(ISNUMBER(G16)),F16&lt;E16),"",G16/(F16-E16+1))</x:f>
        <x:v>2</x:v>
      </x:c>
      <x:c r="M16" s="88"/>
      <x:c r="N16" s="86"/>
    </x:row>
    <x:row r="17" ht="82" customHeight="1">
      <x:c r="B17" s="79" t="str">
        <x:v>C10</x:v>
      </x:c>
      <x:c r="C17" s="79" t="str">
        <x:v>2026.1B</x:v>
      </x:c>
      <x:c r="D17" s="79" t="str">
        <x:v>Học CA</x:v>
      </x:c>
      <x:c r="E17" s="83" t="n">
        <x:v>15</x:v>
      </x:c>
      <x:c r="F17" s="83" t="n">
        <x:v>16</x:v>
      </x:c>
      <x:c r="G17" s="83" t="n">
        <x:v>4</x:v>
      </x:c>
      <x:c r="H17" s="74" t="str">
        <x:v>Học ngữ nghĩa lệnh, encoding, số toán hạng, latency, handshake và write-back. Theo dõi một ví dụ extension có sẵn; tổng ôn toàn bộ luồng C tới FPGA.</x:v>
      </x:c>
      <x:c r="I17" s="75" t="str">
        <x:v>Mô tả được một primitive 2 nguồn/1 đích và hạn chế dữ liệu; giải thích được luồng thực thi của baseline mà không đọc chép README.</x:v>
      </x:c>
      <x:c r="J17" s="73" t="str">
        <x:v>C08, C09</x:v>
      </x:c>
      <x:c r="K17" s="73" t="str">
        <x:v>R4; R5 hoặc R6</x:v>
      </x:c>
      <x:c r="L17" s="87" t="n">
        <x:f>IF(OR(NOT(ISNUMBER(E17)),NOT(ISNUMBER(F17)),NOT(ISNUMBER(G17)),F17&lt;E17),"",G17/(F17-E17+1))</x:f>
        <x:v>2</x:v>
      </x:c>
      <x:c r="M17" s="88"/>
      <x:c r="N17" s="86"/>
    </x:row>
    <x:row r="18" ht="82" customHeight="1">
      <x:c r="B18" s="77" t="str">
        <x:v>P01</x:v>
      </x:c>
      <x:c r="C18" s="77" t="str">
        <x:v>2026.1A</x:v>
      </x:c>
      <x:c r="D18" s="77" t="str">
        <x:v>Đồ án</x:v>
      </x:c>
      <x:c r="E18" s="83" t="n">
        <x:v>1</x:v>
      </x:c>
      <x:c r="F18" s="83" t="n">
        <x:v>1</x:v>
      </x:c>
      <x:c r="G18" s="83" t="n">
        <x:v>4</x:v>
      </x:c>
      <x:c r="H18" s="71" t="str">
        <x:v>Ghi kỹ năng C/RTL/Linux hiện có; mục tiêu HK1; giờ học thực tế; kit, máy lab/server và license có thể dùng. Trao đổi mục tiêu với thầy khi có lịch.</x:v>
      </x:c>
      <x:c r="I18" s="72" t="str">
        <x:v>Một trang scope HK1 và danh sách điểm chưa chốt. Chọn 3 buổi học/làm cố định; cập nhật công suất tuần trong tracker theo thực tế.</x:v>
      </x:c>
      <x:c r="J18" s="70" t="str"/>
      <x:c r="K18" s="70" t="str">
        <x:v>D1; kế hoạch trong chat</x:v>
      </x:c>
      <x:c r="L18" s="84" t="n">
        <x:f>IF(OR(NOT(ISNUMBER(E18)),NOT(ISNUMBER(F18)),NOT(ISNUMBER(G18)),F18&lt;E18),"",G18/(F18-E18+1))</x:f>
        <x:v>4</x:v>
      </x:c>
      <x:c r="M18" s="88"/>
      <x:c r="N18" s="86"/>
    </x:row>
    <x:row r="19" ht="82" customHeight="1">
      <x:c r="B19" s="79" t="str">
        <x:v>P02</x:v>
      </x:c>
      <x:c r="C19" s="79" t="str">
        <x:v>2026.1A</x:v>
      </x:c>
      <x:c r="D19" s="79" t="str">
        <x:v>Đồ án</x:v>
      </x:c>
      <x:c r="E19" s="83" t="n">
        <x:v>2</x:v>
      </x:c>
      <x:c r="F19" s="83" t="n">
        <x:v>2</x:v>
      </x:c>
      <x:c r="G19" s="83" t="n">
        <x:v>4</x:v>
      </x:c>
      <x:c r="H19" s="74" t="str">
        <x:v>Tạo repo, README và nhật ký tuần. Chạy C/Python cơ bản, mở Ripes. Ghi cách sao lưu và ghi nhận phiên bản công cụ; thử mô phỏng RTL nhỏ nếu đủ thời gian.</x:v>
      </x:c>
      <x:c r="I19" s="75" t="str">
        <x:v>Chạy lại được các lệnh cơ bản từ README. Có commit đầu tiên và nơi lưu log, mã nguồn, reference, kết quả riêng biệt.</x:v>
      </x:c>
      <x:c r="J19" s="73" t="str">
        <x:v>P01</x:v>
      </x:c>
      <x:c r="K19" s="73" t="str">
        <x:v>R2</x:v>
      </x:c>
      <x:c r="L19" s="87" t="n">
        <x:f>IF(OR(NOT(ISNUMBER(E19)),NOT(ISNUMBER(F19)),NOT(ISNUMBER(G19)),F19&lt;E19),"",G19/(F19-E19+1))</x:f>
        <x:v>4</x:v>
      </x:c>
      <x:c r="M19" s="88"/>
      <x:c r="N19" s="86"/>
    </x:row>
    <x:row r="20" ht="82" customHeight="1">
      <x:c r="B20" s="77" t="str">
        <x:v>P03</x:v>
      </x:c>
      <x:c r="C20" s="77" t="str">
        <x:v>2026.1A</x:v>
      </x:c>
      <x:c r="D20" s="77" t="str">
        <x:v>Đồ án</x:v>
      </x:c>
      <x:c r="E20" s="83" t="n">
        <x:v>3</x:v>
      </x:c>
      <x:c r="F20" s="83" t="n">
        <x:v>3</x:v>
      </x:c>
      <x:c r="G20" s="83" t="n">
        <x:v>4</x:v>
      </x:c>
      <x:c r="H20" s="71" t="str">
        <x:v>So sánh tối đa 2 nền tảng theo demo sẵn, ngôn ngữ RTL, ngoại vi, phép đo, giao diện mở rộng và board hỗ trợ. Ưu tiên kit/mã nguồn có sẵn ở lab.</x:v>
      </x:c>
      <x:c r="I20" s="72" t="str">
        <x:v>Bảng so sánh 2 ứng viên và một lựa chọn tạm. Ghi rõ còn thiếu board, công cụ hay kiến thức gì; không mua kit chỉ dựa vào giá.</x:v>
      </x:c>
      <x:c r="J20" s="70" t="str">
        <x:v>P01, P02</x:v>
      </x:c>
      <x:c r="K20" s="70" t="str">
        <x:v>R5; R6</x:v>
      </x:c>
      <x:c r="L20" s="84" t="n">
        <x:f>IF(OR(NOT(ISNUMBER(E20)),NOT(ISNUMBER(F20)),NOT(ISNUMBER(G20)),F20&lt;E20),"",G20/(F20-E20+1))</x:f>
        <x:v>4</x:v>
      </x:c>
      <x:c r="M20" s="88"/>
      <x:c r="N20" s="86"/>
    </x:row>
    <x:row r="21" ht="82" customHeight="1">
      <x:c r="B21" s="79" t="str">
        <x:v>P04</x:v>
      </x:c>
      <x:c r="C21" s="79" t="str">
        <x:v>2026.1A</x:v>
      </x:c>
      <x:c r="D21" s="79" t="str">
        <x:v>Đồ án</x:v>
      </x:c>
      <x:c r="E21" s="83" t="n">
        <x:v>4</x:v>
      </x:c>
      <x:c r="F21" s="83" t="n">
        <x:v>4</x:v>
      </x:c>
      <x:c r="G21" s="83" t="n">
        <x:v>4</x:v>
      </x:c>
      <x:c r="H21" s="74" t="str">
        <x:v>Đọc có hướng dẫn 2 công trình gần đề tài trong danh mục đính kèm. Ghi workload, baseline, lệnh, metric, hạn chế; tra các thuật ngữ chưa hiểu.</x:v>
      </x:c>
      <x:c r="I21" s="75" t="str">
        <x:v>Hai hàng literature review có dẫn nguồn và câu hỏi của mình. Phân biệt kết quả của bài báo với giả thuyết sẽ kiểm tra trong luận văn.</x:v>
      </x:c>
      <x:c r="J21" s="73" t="str">
        <x:v>P03</x:v>
      </x:c>
      <x:c r="K21" s="73" t="str">
        <x:v>D1 tài liệu [1], [2], [6]</x:v>
      </x:c>
      <x:c r="L21" s="87" t="n">
        <x:f>IF(OR(NOT(ISNUMBER(E21)),NOT(ISNUMBER(F21)),NOT(ISNUMBER(G21)),F21&lt;E21),"",G21/(F21-E21+1))</x:f>
        <x:v>4</x:v>
      </x:c>
      <x:c r="M21" s="88"/>
      <x:c r="N21" s="86"/>
    </x:row>
    <x:row r="22" ht="82" customHeight="1">
      <x:c r="B22" s="77" t="str">
        <x:v>P05</x:v>
      </x:c>
      <x:c r="C22" s="77" t="str">
        <x:v>2026.1A</x:v>
      </x:c>
      <x:c r="D22" s="77" t="str">
        <x:v>Đồ án</x:v>
      </x:c>
      <x:c r="E22" s="83" t="n">
        <x:v>5</x:v>
      </x:c>
      <x:c r="F22" s="83" t="n">
        <x:v>5</x:v>
      </x:c>
      <x:c r="G22" s="83" t="n">
        <x:v>4</x:v>
      </x:c>
      <x:c r="H22" s="71" t="str">
        <x:v>Chốt core sau khi chạy thử ví dụ được cung cấp. Cố định commit, compiler, ISA/ABI và multiplier; build ELF rồi chạy C trong mô phỏng RTL.</x:v>
      </x:c>
      <x:c r="I22" s="72" t="str">
        <x:v>Demo C chạy từ clean build, có log và ELF/disassembly. Nếu sau 2 buổi vẫn tắc ở setup, dùng ví dụ/nền tảng có hỗ trợ phù hợp hơn.</x:v>
      </x:c>
      <x:c r="J22" s="70" t="str">
        <x:v>P03, P02</x:v>
      </x:c>
      <x:c r="K22" s="70" t="str">
        <x:v>R5 hoặc R6</x:v>
      </x:c>
      <x:c r="L22" s="84" t="n">
        <x:f>IF(OR(NOT(ISNUMBER(E22)),NOT(ISNUMBER(F22)),NOT(ISNUMBER(G22)),F22&lt;E22),"",G22/(F22-E22+1))</x:f>
        <x:v>4</x:v>
      </x:c>
      <x:c r="M22" s="88"/>
      <x:c r="N22" s="86"/>
    </x:row>
    <x:row r="23" ht="82" customHeight="1">
      <x:c r="B23" s="79" t="str">
        <x:v>P06</x:v>
      </x:c>
      <x:c r="C23" s="79" t="str">
        <x:v>2026.1A</x:v>
      </x:c>
      <x:c r="D23" s="79" t="str">
        <x:v>Đồ án</x:v>
      </x:c>
      <x:c r="E23" s="83" t="n">
        <x:v>6</x:v>
      </x:c>
      <x:c r="F23" s="83" t="n">
        <x:v>6</x:v>
      </x:c>
      <x:c r="G23" s="83" t="n">
        <x:v>4</x:v>
      </x:c>
      <x:c r="H23" s="74" t="str">
        <x:v>Lần theo một phép add và một load từ PC tới write-back. Tìm module core, register file, bus và multiplier; chốt sơ đồ hệ thống và kit mục tiêu.</x:v>
      </x:c>
      <x:c r="I23" s="75" t="str">
        <x:v>Waveform có chú thích và sơ đồ khối 1 trang. Giải thích được các tín hiệu chính của lệnh, không cần hiểu toàn bộ RTL ngay.</x:v>
      </x:c>
      <x:c r="J23" s="73" t="str">
        <x:v>P05, C04</x:v>
      </x:c>
      <x:c r="K23" s="73" t="str">
        <x:v>R5 hoặc R6</x:v>
      </x:c>
      <x:c r="L23" s="87" t="n">
        <x:f>IF(OR(NOT(ISNUMBER(E23)),NOT(ISNUMBER(F23)),NOT(ISNUMBER(G23)),F23&lt;E23),"",G23/(F23-E23+1))</x:f>
        <x:v>4</x:v>
      </x:c>
      <x:c r="M23" s="88"/>
      <x:c r="N23" s="86"/>
    </x:row>
    <x:row r="24" ht="82" customHeight="1">
      <x:c r="B24" s="77" t="str">
        <x:v>P07</x:v>
      </x:c>
      <x:c r="C24" s="77" t="str">
        <x:v>2026.1A</x:v>
      </x:c>
      <x:c r="D24" s="77" t="str">
        <x:v>Đồ án</x:v>
      </x:c>
      <x:c r="E24" s="83" t="n">
        <x:v>7</x:v>
      </x:c>
      <x:c r="F24" s="83" t="n">
        <x:v>7</x:v>
      </x:c>
      <x:c r="G24" s="83" t="n">
        <x:v>4</x:v>
      </x:c>
      <x:c r="H24" s="71" t="str">
        <x:v>Tận dụng SoC mẫu; kiểm tra BRAM, UART, GPIO/timer cần dùng. Đọc hoặc chỉnh memory map, startup, linker script. Chạy kiểm tra RAM và UART.</x:v>
      </x:c>
      <x:c r="I24" s="72" t="str">
        <x:v>C bare-metal ghi/đọc RAM và phát chuỗi UART trong mô phỏng. Memory map thống nhất giữa RTL và phần mềm; mọi thay đổi được ghi lại.</x:v>
      </x:c>
      <x:c r="J24" s="70" t="str">
        <x:v>P06, C05</x:v>
      </x:c>
      <x:c r="K24" s="70" t="str">
        <x:v>R5 hoặc R6</x:v>
      </x:c>
      <x:c r="L24" s="84" t="n">
        <x:f>IF(OR(NOT(ISNUMBER(E24)),NOT(ISNUMBER(F24)),NOT(ISNUMBER(G24)),F24&lt;E24),"",G24/(F24-E24+1))</x:f>
        <x:v>4</x:v>
      </x:c>
      <x:c r="M24" s="88"/>
      <x:c r="N24" s="86"/>
    </x:row>
    <x:row r="25" ht="82" customHeight="1">
      <x:c r="B25" s="79" t="str">
        <x:v>P08</x:v>
      </x:c>
      <x:c r="C25" s="79" t="str">
        <x:v>2026.1A</x:v>
      </x:c>
      <x:c r="D25" s="79" t="str">
        <x:v>Đồ án</x:v>
      </x:c>
      <x:c r="E25" s="83" t="n">
        <x:v>8</x:v>
      </x:c>
      <x:c r="F25" s="83" t="n">
        <x:v>8</x:v>
      </x:c>
      <x:c r="G25" s="83" t="n">
        <x:v>4</x:v>
      </x:c>
      <x:c r="H25" s="74" t="str">
        <x:v>Dùng tuần này sửa tồn đọng và chạy regression nhỏ. Viết hướng dẫn build; review kiến thức, core, toolchain và kế hoạch có board với thầy.</x:v>
      </x:c>
      <x:c r="I25" s="75" t="str">
        <x:v>Baseline mô phỏng tái lập được, sơ đồ và README khớp mã nguồn. Ghi riêng các mục chưa đạt; chỉ chuyển sang đo khi kết quả chức năng ổn.</x:v>
      </x:c>
      <x:c r="J25" s="73" t="str">
        <x:v>P07</x:v>
      </x:c>
      <x:c r="K25" s="73" t="str">
        <x:v>D1 mục 2.5</x:v>
      </x:c>
      <x:c r="L25" s="87" t="n">
        <x:f>IF(OR(NOT(ISNUMBER(E25)),NOT(ISNUMBER(F25)),NOT(ISNUMBER(G25)),F25&lt;E25),"",G25/(F25-E25+1))</x:f>
        <x:v>4</x:v>
      </x:c>
      <x:c r="M25" s="88"/>
      <x:c r="N25" s="86"/>
    </x:row>
    <x:row r="26" ht="82" customHeight="1">
      <x:c r="B26" s="77" t="str">
        <x:v>P09</x:v>
      </x:c>
      <x:c r="C26" s="77" t="str">
        <x:v>2026.1B</x:v>
      </x:c>
      <x:c r="D26" s="77" t="str">
        <x:v>Đồ án</x:v>
      </x:c>
      <x:c r="E26" s="83" t="n">
        <x:v>9</x:v>
      </x:c>
      <x:c r="F26" s="83" t="n">
        <x:v>9</x:v>
      </x:c>
      <x:c r="G26" s="83" t="n">
        <x:v>5</x:v>
      </x:c>
      <x:c r="H26" s="71" t="str">
        <x:v>Dùng counter của core hoặc bộ đo tương đương; đo vùng rỗng và vòng lặp. Đưa UART ra ngoài vùng đo, giữ kết quả tránh compiler loại bỏ.</x:v>
      </x:c>
      <x:c r="I26" s="72" t="str">
        <x:v>Có định nghĩa vùng đo, overhead và 3 lần chạy tái lập. Ghi rõ đo trong RTL hay trên board; không dùng cycle Ripes thay baseline.</x:v>
      </x:c>
      <x:c r="J26" s="70" t="str">
        <x:v>P08, C06</x:v>
      </x:c>
      <x:c r="K26" s="70" t="str">
        <x:v>R5 hoặc R6</x:v>
      </x:c>
      <x:c r="L26" s="84" t="n">
        <x:f>IF(OR(NOT(ISNUMBER(E26)),NOT(ISNUMBER(F26)),NOT(ISNUMBER(G26)),F26&lt;E26),"",G26/(F26-E26+1))</x:f>
        <x:v>5</x:v>
      </x:c>
      <x:c r="M26" s="88"/>
      <x:c r="N26" s="86"/>
    </x:row>
    <x:row r="27" ht="82" customHeight="1">
      <x:c r="B27" s="79" t="str">
        <x:v>P10</x:v>
      </x:c>
      <x:c r="C27" s="79" t="str">
        <x:v>2026.1B</x:v>
      </x:c>
      <x:c r="D27" s="79" t="str">
        <x:v>Đồ án</x:v>
      </x:c>
      <x:c r="E27" s="83" t="n">
        <x:v>10</x:v>
      </x:c>
      <x:c r="F27" s="83" t="n">
        <x:v>10</x:v>
      </x:c>
      <x:c r="G27" s="83" t="n">
        <x:v>5</x:v>
      </x:c>
      <x:c r="H27" s="74" t="str">
        <x:v>Build ví dụ baseline cho part thực; lưu timing/utilization. Nếu build cloud, giữ tool trên persistent disk, tải bitstream về máy nối kit và nạp/UART.</x:v>
      </x:c>
      <x:c r="I27" s="75" t="str">
        <x:v>Demo C chạy trên kit, có log và cấu hình clock. Nếu chưa có kit, giữ trạng thái At Risk và ghi lịch mượn; mô phỏng/P&amp;R chưa thay cho kiểm chứng board.</x:v>
      </x:c>
      <x:c r="J27" s="73" t="str">
        <x:v>P08, P09</x:v>
      </x:c>
      <x:c r="K27" s="73" t="str">
        <x:v>R7; tài liệu board đã chọn</x:v>
      </x:c>
      <x:c r="L27" s="87" t="n">
        <x:f>IF(OR(NOT(ISNUMBER(E27)),NOT(ISNUMBER(F27)),NOT(ISNUMBER(G27)),F27&lt;E27),"",G27/(F27-E27+1))</x:f>
        <x:v>5</x:v>
      </x:c>
      <x:c r="M27" s="88"/>
      <x:c r="N27" s="86"/>
    </x:row>
    <x:row r="28" ht="82" customHeight="1">
      <x:c r="B28" s="77" t="str">
        <x:v>P11</x:v>
      </x:c>
      <x:c r="C28" s="77" t="str">
        <x:v>2026.1B</x:v>
      </x:c>
      <x:c r="D28" s="77" t="str">
        <x:v>Đồ án</x:v>
      </x:c>
      <x:c r="E28" s="83" t="n">
        <x:v>11</x:v>
      </x:c>
      <x:c r="F28" s="83" t="n">
        <x:v>11</x:v>
      </x:c>
      <x:c r="G28" s="83" t="n">
        <x:v>5</x:v>
      </x:c>
      <x:c r="H28" s="71" t="str">
        <x:v>Chốt fixed-point cho dot-product và complex multiply. Viết reference integer bằng Python, dữ liệu có seed và ca biên; chọn 3 kích thước vừa BRAM.</x:v>
      </x:c>
      <x:c r="I28" s="72" t="str">
        <x:v>Đặc tả độ rộng trung gian, accumulator, rounding và overflow; lưu input/output mong đợi. Có phép tính tay nhỏ để kiểm tra reference.</x:v>
      </x:c>
      <x:c r="J28" s="70" t="str">
        <x:v>P09, C01</x:v>
      </x:c>
      <x:c r="K28" s="70" t="str">
        <x:v>D1 nội dung 3, 6</x:v>
      </x:c>
      <x:c r="L28" s="84" t="n">
        <x:f>IF(OR(NOT(ISNUMBER(E28)),NOT(ISNUMBER(F28)),NOT(ISNUMBER(G28)),F28&lt;E28),"",G28/(F28-E28+1))</x:f>
        <x:v>5</x:v>
      </x:c>
      <x:c r="M28" s="88"/>
      <x:c r="N28" s="86"/>
    </x:row>
    <x:row r="29" ht="82" customHeight="1">
      <x:c r="B29" s="79" t="str">
        <x:v>P12</x:v>
      </x:c>
      <x:c r="C29" s="79" t="str">
        <x:v>2026.1B</x:v>
      </x:c>
      <x:c r="D29" s="79" t="str">
        <x:v>Đồ án</x:v>
      </x:c>
      <x:c r="E29" s="83" t="n">
        <x:v>12</x:v>
      </x:c>
      <x:c r="F29" s="83" t="n">
        <x:v>12</x:v>
      </x:c>
      <x:c r="G29" s="83" t="n">
        <x:v>5</x:v>
      </x:c>
      <x:c r="H29" s="74" t="str">
        <x:v>Viết C dot-product theo đúng reference. Kiểm tra assembly, chạy các kích thước và ca biên; lưu cycle, code size và cấu hình build.</x:v>
      </x:c>
      <x:c r="I29" s="75" t="str">
        <x:v>C khớp bit với reference cho bộ test đã chốt; có CSV kết quả. Phân biệt lỗi số học với lỗi đo; giữ dữ liệu sai để tái hiện lỗi.</x:v>
      </x:c>
      <x:c r="J29" s="73" t="str">
        <x:v>P11, C08, P09</x:v>
      </x:c>
      <x:c r="K29" s="73" t="str">
        <x:v>D1 nội dung 3, 4</x:v>
      </x:c>
      <x:c r="L29" s="87" t="n">
        <x:f>IF(OR(NOT(ISNUMBER(E29)),NOT(ISNUMBER(F29)),NOT(ISNUMBER(G29)),F29&lt;E29),"",G29/(F29-E29+1))</x:f>
        <x:v>5</x:v>
      </x:c>
      <x:c r="M29" s="88"/>
      <x:c r="N29" s="86"/>
    </x:row>
    <x:row r="30" ht="82" customHeight="1">
      <x:c r="B30" s="77" t="str">
        <x:v>P13</x:v>
      </x:c>
      <x:c r="C30" s="77" t="str">
        <x:v>2026.1B</x:v>
      </x:c>
      <x:c r="D30" s="77" t="str">
        <x:v>Đồ án</x:v>
      </x:c>
      <x:c r="E30" s="83" t="n">
        <x:v>13</x:v>
      </x:c>
      <x:c r="F30" s="83" t="n">
        <x:v>13</x:v>
      </x:c>
      <x:c r="G30" s="83" t="n">
        <x:v>6</x:v>
      </x:c>
      <x:c r="H30" s="71" t="str">
        <x:v>Viết complex vector multiply theo reference; đo cả pack/unpack, load/store và phần số học. Tái sử dụng bộ sinh dữ liệu và harness.</x:v>
      </x:c>
      <x:c r="I30" s="72" t="str">
        <x:v>Khớp reference, có 3 kích thước và ca biên; lưu assembly và cycle. Nêu rõ đây là kernel DSP độc lập, chưa phải chuỗi radar hoàn chỉnh.</x:v>
      </x:c>
      <x:c r="J30" s="70" t="str">
        <x:v>P11, P12</x:v>
      </x:c>
      <x:c r="K30" s="70" t="str">
        <x:v>D1 nội dung 3, 4</x:v>
      </x:c>
      <x:c r="L30" s="84" t="n">
        <x:f>IF(OR(NOT(ISNUMBER(E30)),NOT(ISNUMBER(F30)),NOT(ISNUMBER(G30)),F30&lt;E30),"",G30/(F30-E30+1))</x:f>
        <x:v>6</x:v>
      </x:c>
      <x:c r="M30" s="88"/>
      <x:c r="N30" s="86"/>
    </x:row>
    <x:row r="31" ht="82" customHeight="1">
      <x:c r="B31" s="79" t="str">
        <x:v>P14</x:v>
      </x:c>
      <x:c r="C31" s="79" t="str">
        <x:v>2026.1B</x:v>
      </x:c>
      <x:c r="D31" s="79" t="str">
        <x:v>Đồ án</x:v>
      </x:c>
      <x:c r="E31" s="83" t="n">
        <x:v>14</x:v>
      </x:c>
      <x:c r="F31" s="83" t="n">
        <x:v>14</x:v>
      </x:c>
      <x:c r="G31" s="83" t="n">
        <x:v>6</x:v>
      </x:c>
      <x:c r="H31" s="74" t="str">
        <x:v>Phân tách chi phí 2 kernel: load/store, mul/add/shift, vòng lặp và chuyển dữ liệu. Bổ sung 2 bài gần nhất vào literature review; kiểm tra baseline công bằng.</x:v>
      </x:c>
      <x:c r="I31" s="75" t="str">
        <x:v>Bảng hotspot có số đo và nguồn trace; tổng 4 bài đọc có ghi chú. Nêu 2–3 primitive ứng viên và overhead dự kiến, chưa khẳng định tính mới.</x:v>
      </x:c>
      <x:c r="J31" s="73" t="str">
        <x:v>P12, P13, C09</x:v>
      </x:c>
      <x:c r="K31" s="73" t="str">
        <x:v>D1 nội dung 1, 4</x:v>
      </x:c>
      <x:c r="L31" s="87" t="n">
        <x:f>IF(OR(NOT(ISNUMBER(E31)),NOT(ISNUMBER(F31)),NOT(ISNUMBER(G31)),F31&lt;E31),"",G31/(F31-E31+1))</x:f>
        <x:v>6</x:v>
      </x:c>
      <x:c r="M31" s="88"/>
      <x:c r="N31" s="86"/>
    </x:row>
    <x:row r="32" ht="82" customHeight="1">
      <x:c r="B32" s="77" t="str">
        <x:v>P15</x:v>
      </x:c>
      <x:c r="C32" s="77" t="str">
        <x:v>2026.1B</x:v>
      </x:c>
      <x:c r="D32" s="77" t="str">
        <x:v>Đồ án</x:v>
      </x:c>
      <x:c r="E32" s="83" t="n">
        <x:v>15</x:v>
      </x:c>
      <x:c r="F32" s="83" t="n">
        <x:v>15</x:v>
      </x:c>
      <x:c r="G32" s="83" t="n">
        <x:v>6</x:v>
      </x:c>
      <x:c r="H32" s="71" t="str">
        <x:v>Chọn một ứng viên để viết ngữ nghĩa, toán hạng, độ rộng và cách trả kết quả. Đối chiếu prior art. Chỉ thử RTL nhỏ nếu baseline đã đạt và còn giờ dự phòng.</x:v>
      </x:c>
      <x:c r="I32" s="72" t="str">
        <x:v>Một đặc tả thử 1–2 trang và bảng lý do chọn/loại ứng viên. Prototype RTL là mục tiêu thêm, không phải điều kiện hoàn thành HK1.</x:v>
      </x:c>
      <x:c r="J32" s="70" t="str">
        <x:v>P14, C08</x:v>
      </x:c>
      <x:c r="K32" s="70" t="str">
        <x:v>R4; R5 hoặc R6; D1</x:v>
      </x:c>
      <x:c r="L32" s="84" t="n">
        <x:f>IF(OR(NOT(ISNUMBER(E32)),NOT(ISNUMBER(F32)),NOT(ISNUMBER(G32)),F32&lt;E32),"",G32/(F32-E32+1))</x:f>
        <x:v>6</x:v>
      </x:c>
      <x:c r="M32" s="88"/>
      <x:c r="N32" s="86"/>
    </x:row>
    <x:row r="33" ht="82" customHeight="1">
      <x:c r="B33" s="79" t="str">
        <x:v>P16</x:v>
      </x:c>
      <x:c r="C33" s="79" t="str">
        <x:v>2026.1B</x:v>
      </x:c>
      <x:c r="D33" s="79" t="str">
        <x:v>Đồ án</x:v>
      </x:c>
      <x:c r="E33" s="83" t="n">
        <x:v>16</x:v>
      </x:c>
      <x:c r="F33" s="83" t="n">
        <x:v>16</x:v>
      </x:c>
      <x:c r="G33" s="83" t="n">
        <x:v>6</x:v>
      </x:c>
      <x:c r="H33" s="74" t="str">
        <x:v>Chạy lại các kết quả chính; viết báo cáo HK1, slide ngắn và danh sách rủi ro. Cập nhật đề cương/plan HK2 từ kết quả thực tế và góp ý thầy.</x:v>
      </x:c>
      <x:c r="I33" s="75" t="str">
        <x:v>Bộ demo, README, reference, log/CSV, báo cáo và backlog HK2 có thể truy ngược về commit. Ghi rõ phần chưa có board hoặc chưa kiểm chứng.</x:v>
      </x:c>
      <x:c r="J33" s="73" t="str">
        <x:v>P14, P15, P10</x:v>
      </x:c>
      <x:c r="K33" s="73" t="str">
        <x:v>D1 mục 2.5, 2.6</x:v>
      </x:c>
      <x:c r="L33" s="87" t="n">
        <x:f>IF(OR(NOT(ISNUMBER(E33)),NOT(ISNUMBER(F33)),NOT(ISNUMBER(G33)),F33&lt;E33),"",G33/(F33-E33+1))</x:f>
        <x:v>6</x:v>
      </x:c>
      <x:c r="M33" s="88"/>
      <x:c r="N33" s="86"/>
    </x:row>
    <x:row r="34" ht="82" customHeight="1">
      <x:c r="B34" s="77" t="str">
        <x:v>M01</x:v>
      </x:c>
      <x:c r="C34" s="77" t="str">
        <x:v>2026.1A</x:v>
      </x:c>
      <x:c r="D34" s="77" t="str">
        <x:v>Mốc</x:v>
      </x:c>
      <x:c r="E34" s="83" t="n">
        <x:v>4</x:v>
      </x:c>
      <x:c r="F34" s="83" t="n">
        <x:v>4</x:v>
      </x:c>
      <x:c r="G34" s="83" t="n">
        <x:v>0</x:v>
      </x:c>
      <x:c r="H34" s="71" t="str">
        <x:v>Review kiến thức số/logic/ISA, môi trường, hướng nền tảng và hai bài đọc. Thời gian review đã tính trong P04.</x:v>
      </x:c>
      <x:c r="I34" s="72" t="str">
        <x:v>Giải thích được vòng lặp tổng mảng bằng assembly; có bảng chọn nền tảng và câu hỏi cần học tiếp. Chỉ đặt Complete sau khi review đạt.</x:v>
      </x:c>
      <x:c r="J34" s="70" t="str">
        <x:v>C01, C02, C03, P01, P02, P03, P04</x:v>
      </x:c>
      <x:c r="K34" s="70" t="str">
        <x:v>Tiêu chí đề xuất</x:v>
      </x:c>
      <x:c r="L34" s="84" t="n">
        <x:f>IF(OR(NOT(ISNUMBER(E34)),NOT(ISNUMBER(F34)),NOT(ISNUMBER(G34)),F34&lt;E34),"",G34/(F34-E34+1))</x:f>
        <x:v>0</x:v>
      </x:c>
      <x:c r="M34" s="88"/>
      <x:c r="N34" s="86"/>
    </x:row>
    <x:row r="35" ht="82" customHeight="1">
      <x:c r="B35" s="79" t="str">
        <x:v>M02</x:v>
      </x:c>
      <x:c r="C35" s="79" t="str">
        <x:v>2026.1A</x:v>
      </x:c>
      <x:c r="D35" s="79" t="str">
        <x:v>Mốc</x:v>
      </x:c>
      <x:c r="E35" s="83" t="n">
        <x:v>8</x:v>
      </x:c>
      <x:c r="F35" s="83" t="n">
        <x:v>8</x:v>
      </x:c>
      <x:c r="G35" s="83" t="n">
        <x:v>0</x:v>
      </x:c>
      <x:c r="H35" s="74" t="str">
        <x:v>Review CPU/datapath/pipeline và baseline mô phỏng. Thời gian review đã tính trong P08.</x:v>
      </x:c>
      <x:c r="I35" s="75" t="str">
        <x:v>Tự giải thích một lệnh đi qua core và chạy lại demo C từ README. Chốt cách có kit và đường build/nạp cho đợt 1B.</x:v>
      </x:c>
      <x:c r="J35" s="73" t="str">
        <x:v>M01, C04, C05, C06, P05, P06, P07, P08</x:v>
      </x:c>
      <x:c r="K35" s="73" t="str">
        <x:v>Tiêu chí đề xuất</x:v>
      </x:c>
      <x:c r="L35" s="87" t="n">
        <x:f>IF(OR(NOT(ISNUMBER(E35)),NOT(ISNUMBER(F35)),NOT(ISNUMBER(G35)),F35&lt;E35),"",G35/(F35-E35+1))</x:f>
        <x:v>0</x:v>
      </x:c>
      <x:c r="M35" s="88"/>
      <x:c r="N35" s="86"/>
    </x:row>
    <x:row r="36" ht="82" customHeight="1">
      <x:c r="B36" s="77" t="str">
        <x:v>M03</x:v>
      </x:c>
      <x:c r="C36" s="77" t="str">
        <x:v>2026.1B</x:v>
      </x:c>
      <x:c r="D36" s="77" t="str">
        <x:v>Mốc</x:v>
      </x:c>
      <x:c r="E36" s="83" t="n">
        <x:v>12</x:v>
      </x:c>
      <x:c r="F36" s="83" t="n">
        <x:v>12</x:v>
      </x:c>
      <x:c r="G36" s="83" t="n">
        <x:v>0</x:v>
      </x:c>
      <x:c r="H36" s="71" t="str">
        <x:v>Review phép đo, fixed-point, FPGA và benchmark đầu tiên. Thời gian review đã tính trong P12.</x:v>
      </x:c>
      <x:c r="I36" s="72" t="str">
        <x:v>Dot-product đúng reference và phép đo có thể lặp lại; có bằng chứng chạy board. Phần thiếu board phải còn hiển thị chưa đạt.</x:v>
      </x:c>
      <x:c r="J36" s="70" t="str">
        <x:v>M02, C07, C08, P09, P10, P11, P12</x:v>
      </x:c>
      <x:c r="K36" s="70" t="str">
        <x:v>Tiêu chí đề xuất</x:v>
      </x:c>
      <x:c r="L36" s="84" t="n">
        <x:f>IF(OR(NOT(ISNUMBER(E36)),NOT(ISNUMBER(F36)),NOT(ISNUMBER(G36)),F36&lt;E36),"",G36/(F36-E36+1))</x:f>
        <x:v>0</x:v>
      </x:c>
      <x:c r="M36" s="88"/>
      <x:c r="N36" s="86"/>
    </x:row>
    <x:row r="37" ht="82" customHeight="1">
      <x:c r="B37" s="79" t="str">
        <x:v>M04</x:v>
      </x:c>
      <x:c r="C37" s="79" t="str">
        <x:v>2026.1B</x:v>
      </x:c>
      <x:c r="D37" s="79" t="str">
        <x:v>Mốc</x:v>
      </x:c>
      <x:c r="E37" s="83" t="n">
        <x:v>16</x:v>
      </x:c>
      <x:c r="F37" s="83" t="n">
        <x:v>16</x:v>
      </x:c>
      <x:c r="G37" s="83" t="n">
        <x:v>0</x:v>
      </x:c>
      <x:c r="H37" s="74" t="str">
        <x:v>Review 2 benchmark, profiling, tài liệu và đề xuất bước tiếp theo. Thời gian review đã tính trong P16.</x:v>
      </x:c>
      <x:c r="I37" s="75" t="str">
        <x:v>Có baseline, 2 kernel đúng, số liệu ban đầu và ứng viên có lý do chọn. Thống nhất với thầy phần nghiên cứu HK2; không yêu cầu đã tăng tốc thành công.</x:v>
      </x:c>
      <x:c r="J37" s="73" t="str">
        <x:v>M03, C09, C10, P13, P14, P15, P16</x:v>
      </x:c>
      <x:c r="K37" s="73" t="str">
        <x:v>Tiêu chí đề xuất</x:v>
      </x:c>
      <x:c r="L37" s="87" t="n">
        <x:f>IF(OR(NOT(ISNUMBER(E37)),NOT(ISNUMBER(F37)),NOT(ISNUMBER(G37)),F37&lt;E37),"",G37/(F37-E37+1))</x:f>
        <x:v>0</x:v>
      </x:c>
      <x:c r="M37" s="88"/>
      <x:c r="N37" s="86"/>
    </x:row>
    <x:row r="38">
      <x:c r="B38" s="58"/>
      <x:c r="C38" s="58"/>
      <x:c r="D38" s="58"/>
      <x:c r="E38" s="58"/>
      <x:c r="F38" s="58"/>
      <x:c r="G38" s="58"/>
      <x:c r="H38" s="58"/>
      <x:c r="I38" s="58"/>
      <x:c r="J38" s="58"/>
      <x:c r="K38" s="58"/>
      <x:c r="L38" s="58"/>
      <x:c r="M38" s="58"/>
      <x:c r="N38" s="58"/>
    </x:row>
    <x:row r="39">
      <x:c r="B39" s="58"/>
      <x:c r="C39" s="58"/>
      <x:c r="D39" s="58"/>
      <x:c r="E39" s="58"/>
      <x:c r="F39" s="58"/>
      <x:c r="G39" s="58"/>
      <x:c r="H39" s="58"/>
      <x:c r="I39" s="58"/>
      <x:c r="J39" s="58"/>
      <x:c r="K39" s="58"/>
      <x:c r="L39" s="58"/>
      <x:c r="M39" s="58"/>
      <x:c r="N39" s="58"/>
    </x:row>
    <x:row r="40" ht="24" customHeight="1">
      <x:c r="B40" s="89" t="str">
        <x:v>HỌC LIỆU VÀ PHẠM VI ĐỌC</x:v>
      </x:c>
      <x:c r="C40" s="89"/>
      <x:c r="D40" s="89"/>
      <x:c r="E40" s="89"/>
      <x:c r="F40" s="89"/>
      <x:c r="G40" s="89"/>
      <x:c r="H40" s="89"/>
      <x:c r="I40" s="89"/>
      <x:c r="J40" s="89"/>
      <x:c r="K40" s="89"/>
      <x:c r="L40" s="89"/>
      <x:c r="M40" s="89"/>
      <x:c r="N40" s="89"/>
    </x:row>
    <x:row r="41">
      <x:c r="B41" s="58"/>
      <x:c r="C41" s="58"/>
      <x:c r="D41" s="58"/>
      <x:c r="E41" s="58"/>
      <x:c r="F41" s="58"/>
      <x:c r="G41" s="58"/>
      <x:c r="H41" s="58"/>
      <x:c r="I41" s="58"/>
      <x:c r="J41" s="58"/>
      <x:c r="K41" s="58"/>
      <x:c r="L41" s="58"/>
      <x:c r="M41" s="58"/>
      <x:c r="N41" s="58"/>
    </x:row>
    <x:row r="42" ht="50" customHeight="1">
      <x:c r="B42" s="70" t="str">
        <x:v>R1</x:v>
      </x:c>
      <x:c r="C42" s="70" t="str">
        <x:v>CS61C Course Notes</x:v>
      </x:c>
      <x:c r="D42" s="70"/>
      <x:c r="E42" s="70"/>
      <x:c r="F42" s="70"/>
      <x:c r="G42" s="70"/>
      <x:c r="H42" s="70" t="str">
        <x:v>Nguồn chính: Number Representation, C, RISC-V, CALL, Digital Systems, CPU, Pipelining, Caches, Performance. Chọn theo chủ đề, không chạy toàn bộ khóa.</x:v>
      </x:c>
      <x:c r="I42" s="70"/>
      <x:c r="J42" s="70"/>
      <x:c r="K42" s="70" t="str">
        <x:v>https://notes.cs61c.org/</x:v>
      </x:c>
      <x:c r="L42" s="70"/>
      <x:c r="M42" s="70"/>
      <x:c r="N42" s="70"/>
    </x:row>
    <x:row r="43" ht="50" customHeight="1">
      <x:c r="B43" s="73" t="str">
        <x:v>R2</x:v>
      </x:c>
      <x:c r="C43" s="73" t="str">
        <x:v>Ripes</x:v>
      </x:c>
      <x:c r="D43" s="73"/>
      <x:c r="E43" s="73"/>
      <x:c r="F43" s="73"/>
      <x:c r="G43" s="73"/>
      <x:c r="H43" s="73" t="str">
        <x:v>Thực hành trực quan register, datapath, pipeline. Dùng để học; số cycle của Ripes không thay số đo RTL/FPGA. Web thử nghiệm: https://ripes.dk/</x:v>
      </x:c>
      <x:c r="I43" s="73"/>
      <x:c r="J43" s="73"/>
      <x:c r="K43" s="73" t="str">
        <x:v>https://github.com/mortbopet/Ripes</x:v>
      </x:c>
      <x:c r="L43" s="73"/>
      <x:c r="M43" s="73"/>
      <x:c r="N43" s="73"/>
    </x:row>
    <x:row r="44" ht="50" customHeight="1">
      <x:c r="B44" s="70" t="str">
        <x:v>R3</x:v>
      </x:c>
      <x:c r="C44" s="70" t="str">
        <x:v>Nand to Tetris</x:v>
      </x:c>
      <x:c r="D44" s="70"/>
      <x:c r="E44" s="70"/>
      <x:c r="F44" s="70"/>
      <x:c r="G44" s="70"/>
      <x:c r="H44" s="70" t="str">
        <x:v>Bổ trợ nếu logic số còn yếu: xem các phần Boolean Logic, Arithmetic, Memory và Computer Architecture. Chỉ làm ví dụ cần thiết; đây là kiến trúc Hack.</x:v>
      </x:c>
      <x:c r="I44" s="70"/>
      <x:c r="J44" s="70"/>
      <x:c r="K44" s="70" t="str">
        <x:v>https://www.nand2tetris.org/course</x:v>
      </x:c>
      <x:c r="L44" s="70"/>
      <x:c r="M44" s="70"/>
      <x:c r="N44" s="70"/>
    </x:row>
    <x:row r="45" ht="50" customHeight="1">
      <x:c r="B45" s="73" t="str">
        <x:v>R4</x:v>
      </x:c>
      <x:c r="C45" s="73" t="str">
        <x:v>RISC-V ISA Manual</x:v>
      </x:c>
      <x:c r="D45" s="73"/>
      <x:c r="E45" s="73"/>
      <x:c r="F45" s="73"/>
      <x:c r="G45" s="73"/>
      <x:c r="H45" s="73" t="str">
        <x:v>Tra ngữ nghĩa và encoding khi làm C03/C10. Dùng làm tài liệu tra cứu sau khi hiểu ví dụ; không yêu cầu đọc hết đặc tả.</x:v>
      </x:c>
      <x:c r="I45" s="73"/>
      <x:c r="J45" s="73"/>
      <x:c r="K45" s="73" t="str">
        <x:v>https://docs.riscv.org/reference/isa/unpriv/rv32.html</x:v>
      </x:c>
      <x:c r="L45" s="73"/>
      <x:c r="M45" s="73"/>
      <x:c r="N45" s="73"/>
    </x:row>
    <x:row r="46" ht="50" customHeight="1">
      <x:c r="B46" s="70" t="str">
        <x:v>R5</x:v>
      </x:c>
      <x:c r="C46" s="70" t="str">
        <x:v>PicoRV32</x:v>
      </x:c>
      <x:c r="D46" s="70"/>
      <x:c r="E46" s="70"/>
      <x:c r="F46" s="70"/>
      <x:c r="G46" s="70"/>
      <x:c r="H46" s="70" t="str">
        <x:v>Ứng viên Verilog/PCPI. Repository chính đã archive; cần cân nhắc khả năng tự bảo trì và cố định commit nếu chọn.</x:v>
      </x:c>
      <x:c r="I46" s="70"/>
      <x:c r="J46" s="70"/>
      <x:c r="K46" s="70" t="str">
        <x:v>https://github.com/YosysHQ/picorv32</x:v>
      </x:c>
      <x:c r="L46" s="70"/>
      <x:c r="M46" s="70"/>
      <x:c r="N46" s="70"/>
    </x:row>
    <x:row r="47" ht="50" customHeight="1">
      <x:c r="B47" s="73" t="str">
        <x:v>R6</x:v>
      </x:c>
      <x:c r="C47" s="73" t="str">
        <x:v>NEORV32</x:v>
      </x:c>
      <x:c r="D47" s="73"/>
      <x:c r="E47" s="73"/>
      <x:c r="F47" s="73"/>
      <x:c r="G47" s="73"/>
      <x:c r="H47" s="73" t="str">
        <x:v>Ứng viên VHDL có nền tảng SoC và CFU. Kiểm tra ví dụ, board và mức quen VHDL trước khi quyết định.</x:v>
      </x:c>
      <x:c r="I47" s="73"/>
      <x:c r="J47" s="73"/>
      <x:c r="K47" s="73" t="str">
        <x:v>https://stnolting.github.io/neorv32/</x:v>
      </x:c>
      <x:c r="L47" s="73"/>
      <x:c r="M47" s="73"/>
      <x:c r="N47" s="73"/>
    </x:row>
    <x:row r="48" ht="50" customHeight="1">
      <x:c r="B48" s="70" t="str">
        <x:v>R7</x:v>
      </x:c>
      <x:c r="C48" s="70" t="str">
        <x:v>Vivado Lab Edition</x:v>
      </x:c>
      <x:c r="D48" s="70"/>
      <x:c r="E48" s="70"/>
      <x:c r="F48" s="70"/>
      <x:c r="G48" s="70"/>
      <x:c r="H48" s="70" t="str">
        <x:v>Dùng khi chọn FPGA AMD: nạp/debug thiết bị sau khi đã tạo bitstream. Kế hoạch server/build phải theo board và phiên bản đã chốt.</x:v>
      </x:c>
      <x:c r="I48" s="70"/>
      <x:c r="J48" s="70"/>
      <x:c r="K48" s="70" t="str">
        <x:v>https://docs.amd.com/r/en-US/ug908-vivado-programming-debugging/Vivado-Lab-Edition</x:v>
      </x:c>
      <x:c r="L48" s="70"/>
      <x:c r="M48" s="70"/>
      <x:c r="N48" s="70"/>
    </x:row>
    <x:row r="49" ht="50" customHeight="1">
      <x:c r="B49" s="73" t="str">
        <x:v>D1</x:v>
      </x:c>
      <x:c r="C49" s="73" t="str">
        <x:v>Đề cương đính kèm</x:v>
      </x:c>
      <x:c r="D49" s="73"/>
      <x:c r="E49" s="73"/>
      <x:c r="F49" s="73"/>
      <x:c r="G49" s="73"/>
      <x:c r="H49" s="73" t="str">
        <x:v>Đề cương nghiên cứu – Nguyễn Hải Minh.docx, mục 2.2, 2.5 và 2.6. Lịch 16 tuần, tải 10 giờ/tuần và tiêu chí học là đề xuất bổ sung của tracker.</x:v>
      </x:c>
      <x:c r="I49" s="73"/>
      <x:c r="J49" s="73"/>
      <x:c r="K49" s="73" t="str">
        <x:v>Tệp do người dùng cung cấp trong cuộc trò chuyện</x:v>
      </x:c>
      <x:c r="L49" s="73"/>
      <x:c r="M49" s="73"/>
      <x:c r="N49" s="73"/>
    </x:row>
    <x:row r="50">
      <x:c r="B50" s="58"/>
      <x:c r="C50" s="58"/>
      <x:c r="D50" s="58"/>
      <x:c r="E50" s="58"/>
      <x:c r="F50" s="58"/>
      <x:c r="G50" s="58"/>
      <x:c r="H50" s="58"/>
      <x:c r="I50" s="58"/>
      <x:c r="J50" s="58"/>
      <x:c r="K50" s="58"/>
      <x:c r="L50" s="58"/>
      <x:c r="M50" s="58"/>
      <x:c r="N50" s="58"/>
    </x:row>
    <x:row r="51">
      <x:c r="B51" s="58"/>
      <x:c r="C51" s="58"/>
      <x:c r="D51" s="58"/>
      <x:c r="E51" s="58"/>
      <x:c r="F51" s="58"/>
      <x:c r="G51" s="58"/>
      <x:c r="H51" s="58"/>
      <x:c r="I51" s="58"/>
      <x:c r="J51" s="58"/>
      <x:c r="K51" s="58"/>
      <x:c r="L51" s="58"/>
      <x:c r="M51" s="58"/>
      <x:c r="N51" s="58"/>
    </x:row>
    <x:row r="52" ht="25" customHeight="1">
      <x:c r="B52" s="62" t="str">
        <x:v>Tuần 1 làm C01 + P01: tự đánh giá kỹ năng, biểu diễn số/con trỏ, chạy tổng mảng, ghi scope và nguồn lực. Cuối tuần cập nhật trạng thái, giờ thực tế, bằng chứng và câu hỏi còn vướng. Sao chép URL trong danh mục để mở học liệu.</x:v>
      </x:c>
      <x:c r="C52" s="62"/>
      <x:c r="D52" s="62"/>
      <x:c r="E52" s="62"/>
      <x:c r="F52" s="62"/>
      <x:c r="G52" s="62"/>
      <x:c r="H52" s="62"/>
      <x:c r="I52" s="62"/>
      <x:c r="J52" s="62"/>
      <x:c r="K52" s="62"/>
      <x:c r="L52" s="62"/>
      <x:c r="M52" s="62"/>
      <x:c r="N52" s="62"/>
    </x:row>
    <x:row r="53" ht="25" customHeight="1">
      <x:c r="B53" s="62"/>
      <x:c r="C53" s="62"/>
      <x:c r="D53" s="62"/>
      <x:c r="E53" s="62"/>
      <x:c r="F53" s="62"/>
      <x:c r="G53" s="62"/>
      <x:c r="H53" s="62"/>
      <x:c r="I53" s="62"/>
      <x:c r="J53" s="62"/>
      <x:c r="K53" s="62"/>
      <x:c r="L53" s="62"/>
      <x:c r="M53" s="62"/>
      <x:c r="N53" s="62"/>
    </x:row>
    <x:row r="54">
      <x:c r="B54" s="58"/>
      <x:c r="C54" s="58"/>
      <x:c r="D54" s="58"/>
      <x:c r="E54" s="58"/>
      <x:c r="F54" s="58"/>
      <x:c r="G54" s="58"/>
      <x:c r="H54" s="58"/>
      <x:c r="I54" s="58"/>
      <x:c r="J54" s="58"/>
      <x:c r="K54" s="58"/>
      <x:c r="L54" s="58"/>
      <x:c r="M54" s="58"/>
      <x:c r="N54" s="58"/>
    </x:row>
    <x:row r="55" ht="22" customHeight="1">
      <x:c r="B55" s="67" t="str">
        <x:v>Nếu chưa đạt mốc: dùng giờ dự phòng và sửa kế hoạch tuần, giữ mục chưa đạt ở In Progress/At Risk. Nếu chưa có board, tiếp tục mô phỏng/P&amp;R nhưng P10 và mốc có điều kiện board vẫn chưa hoàn thành. Trong HK1 ưu tiên baseline, 2 kernel và phép đo; custom RTL chỉ thử khi các nền tảng đã ổn. Các trang học liệu được kiểm tra ngày 03/10/2026.</x:v>
      </x:c>
      <x:c r="C55" s="67"/>
      <x:c r="D55" s="67"/>
      <x:c r="E55" s="67"/>
      <x:c r="F55" s="67"/>
      <x:c r="G55" s="67"/>
      <x:c r="H55" s="67"/>
      <x:c r="I55" s="67"/>
      <x:c r="J55" s="67"/>
      <x:c r="K55" s="67"/>
      <x:c r="L55" s="67"/>
      <x:c r="M55" s="67"/>
      <x:c r="N55" s="67"/>
    </x:row>
    <x:row r="56" ht="22" customHeight="1">
      <x:c r="B56" s="67"/>
      <x:c r="C56" s="67"/>
      <x:c r="D56" s="67"/>
      <x:c r="E56" s="67"/>
      <x:c r="F56" s="67"/>
      <x:c r="G56" s="67"/>
      <x:c r="H56" s="67"/>
      <x:c r="I56" s="67"/>
      <x:c r="J56" s="67"/>
      <x:c r="K56" s="67"/>
      <x:c r="L56" s="67"/>
      <x:c r="M56" s="67"/>
      <x:c r="N56" s="67"/>
    </x:row>
    <x:row r="57" ht="22" customHeight="1">
      <x:c r="B57" s="67"/>
      <x:c r="C57" s="67"/>
      <x:c r="D57" s="67"/>
      <x:c r="E57" s="67"/>
      <x:c r="F57" s="67"/>
      <x:c r="G57" s="67"/>
      <x:c r="H57" s="67"/>
      <x:c r="I57" s="67"/>
      <x:c r="J57" s="67"/>
      <x:c r="K57" s="67"/>
      <x:c r="L57" s="67"/>
      <x:c r="M57" s="67"/>
      <x:c r="N57" s="67"/>
    </x:row>
    <x:row r="58">
      <x:c r="B58" s="58"/>
      <x:c r="C58" s="58"/>
      <x:c r="D58" s="58"/>
      <x:c r="E58" s="58"/>
      <x:c r="F58" s="58"/>
      <x:c r="G58" s="58"/>
      <x:c r="H58" s="58"/>
      <x:c r="I58" s="58"/>
      <x:c r="J58" s="58"/>
      <x:c r="K58" s="58"/>
      <x:c r="L58" s="58"/>
      <x:c r="M58" s="58"/>
      <x:c r="N58" s="58"/>
    </x:row>
    <x:row r="59">
      <x:c r="B59" s="58"/>
      <x:c r="C59" s="58"/>
      <x:c r="D59" s="58"/>
      <x:c r="E59" s="58"/>
      <x:c r="F59" s="58"/>
      <x:c r="G59" s="58"/>
      <x:c r="H59" s="58"/>
      <x:c r="I59" s="58"/>
      <x:c r="J59" s="58"/>
      <x:c r="K59" s="58"/>
      <x:c r="L59" s="58"/>
      <x:c r="M59" s="58"/>
      <x:c r="N59" s="58"/>
    </x:row>
    <x:row r="60">
      <x:c r="B60" s="58"/>
      <x:c r="C60" s="58"/>
      <x:c r="D60" s="58"/>
      <x:c r="E60" s="58"/>
      <x:c r="F60" s="58"/>
      <x:c r="G60" s="58"/>
      <x:c r="H60" s="58"/>
      <x:c r="I60" s="58"/>
      <x:c r="J60" s="58"/>
      <x:c r="K60" s="58"/>
      <x:c r="L60" s="58"/>
      <x:c r="M60" s="58"/>
      <x:c r="N60" s="58"/>
    </x:row>
  </x:sheetData>
  <x:mergeCells>
    <x:mergeCell ref="B2:N2"/>
    <x:mergeCell ref="B4:N5"/>
    <x:mergeCell ref="B40:N40"/>
    <x:mergeCell ref="C42:G42"/>
    <x:mergeCell ref="H42:J42"/>
    <x:mergeCell ref="K42:N42"/>
    <x:mergeCell ref="C43:G43"/>
    <x:mergeCell ref="H43:J43"/>
    <x:mergeCell ref="K43:N43"/>
    <x:mergeCell ref="C44:G44"/>
    <x:mergeCell ref="H44:J44"/>
    <x:mergeCell ref="K44:N44"/>
    <x:mergeCell ref="C45:G45"/>
    <x:mergeCell ref="H45:J45"/>
    <x:mergeCell ref="K45:N45"/>
    <x:mergeCell ref="C46:G46"/>
    <x:mergeCell ref="H46:J46"/>
    <x:mergeCell ref="K46:N46"/>
    <x:mergeCell ref="C47:G47"/>
    <x:mergeCell ref="H47:J47"/>
    <x:mergeCell ref="K47:N47"/>
    <x:mergeCell ref="C48:G48"/>
    <x:mergeCell ref="H48:J48"/>
    <x:mergeCell ref="K48:N48"/>
    <x:mergeCell ref="C49:G49"/>
    <x:mergeCell ref="H49:J49"/>
    <x:mergeCell ref="K49:N49"/>
    <x:mergeCell ref="B52:N53"/>
    <x:mergeCell ref="B55:N57"/>
  </x:mergeCells>
  <x:conditionalFormatting sqref="E8:F37">
    <x:cfRule type="expression" dxfId="11" priority="1">
      <x:formula>OR($E8="",$F8="",$F8&lt;$E8)</x:formula>
    </x:cfRule>
  </x:conditionalFormatting>
  <x:dataValidations count="2">
    <x:dataValidation type="whole" operator="between" sqref="E8:F37">
      <x:formula1>1</x:formula1>
      <x:formula2>20</x:formula2>
    </x:dataValidation>
    <x:dataValidation type="whole" operator="between" sqref="G8:G37">
      <x:formula1>0</x:formula1>
      <x:formula2>160</x:formula2>
    </x:dataValidation>
  </x:dataValidations>
  <x:pageMargins left="0.7" right="0.7" top="0.75" bottom="0.75" header="0.3" footer="0.3"/>
</x:worksheet>
</file>