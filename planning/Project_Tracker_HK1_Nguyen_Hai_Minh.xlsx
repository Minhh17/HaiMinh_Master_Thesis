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ject Plan" sheetId="1" state="visible" r:id="rId1"/>
    <sheet xmlns:r="http://schemas.openxmlformats.org/officeDocument/2006/relationships" name="Chi tiet HK1" sheetId="2" state="visible" r:id="rId2"/>
    <sheet xmlns:r="http://schemas.openxmlformats.org/officeDocument/2006/relationships" name="Bao cao tuan" sheetId="3" state="visible" r:id="rId3"/>
    <sheet xmlns:r="http://schemas.openxmlformats.org/officeDocument/2006/relationships" name="Hoc RV32I tuan" sheetId="4" state="visible" r:id="rId4"/>
  </sheets>
  <definedNames>
    <definedName name="_xlnm.Print_Titles" localSheetId="2">'Bao cao tuan'!$1:$6</definedName>
    <definedName name="_xlnm.Print_Area" localSheetId="2">'Bao cao tuan'!$A$1:$L$26</definedName>
    <definedName name="_xlnm._FilterDatabase" localSheetId="3" hidden="1">'Hoc RV32I tuan'!$A$3:$L$10</definedName>
  </definedNames>
</workbook>
</file>

<file path=xl/styles.xml><?xml version="1.0" encoding="utf-8"?>
<styleSheet xmlns="http://schemas.openxmlformats.org/spreadsheetml/2006/main">
  <numFmts count="9">
    <numFmt numFmtId="164" formatCode="mmm\ d"/>
    <numFmt numFmtId="165" formatCode="#,##0;[Red]\(#,##0\);\-"/>
    <numFmt numFmtId="166" formatCode=";;;"/>
    <numFmt numFmtId="167" formatCode="mmm\ d\,\ yyyy"/>
    <numFmt numFmtId="168" formatCode="dd/mm/yyyy"/>
    <numFmt numFmtId="169" formatCode="dd/mm/yy"/>
    <numFmt numFmtId="170" formatCode="dd/mm"/>
    <numFmt numFmtId="171" formatCode="0.0"/>
    <numFmt numFmtId="172" formatCode="yyyy-mm-dd h:mm:ss"/>
  </numFmts>
  <fonts count="29">
    <font>
      <name val="Arial"/>
      <sz val="11"/>
    </font>
    <font>
      <name val="Arial"/>
      <family val="2"/>
      <b val="1"/>
      <color rgb="FFFFFFFF"/>
      <sz val="14"/>
    </font>
    <font>
      <name val="Arial"/>
      <family val="2"/>
      <b val="1"/>
      <color rgb="FFD9E2EA"/>
      <sz val="10"/>
    </font>
    <font>
      <name val="Arial"/>
      <family val="2"/>
      <b val="1"/>
      <color rgb="FF3F3296"/>
      <sz val="10"/>
    </font>
    <font>
      <name val="Arial"/>
      <family val="2"/>
      <b val="1"/>
      <color rgb="FF3F3296"/>
      <sz val="9"/>
    </font>
    <font>
      <name val="Arial"/>
      <family val="2"/>
      <b val="1"/>
      <color rgb="FFFFFFFF"/>
      <sz val="8"/>
    </font>
    <font>
      <name val="Arial"/>
      <family val="2"/>
      <b val="1"/>
      <color rgb="FF3F3296"/>
      <sz val="18"/>
    </font>
    <font>
      <name val="Arial"/>
      <family val="2"/>
      <b val="1"/>
      <color rgb="FF087E5D"/>
      <sz val="18"/>
    </font>
    <font>
      <name val="Arial"/>
      <family val="2"/>
      <b val="1"/>
      <color rgb="FF3258CD"/>
      <sz val="18"/>
    </font>
    <font>
      <name val="Arial"/>
      <family val="2"/>
      <b val="1"/>
      <color rgb="FFC23647"/>
      <sz val="18"/>
    </font>
    <font>
      <name val="Arial"/>
      <family val="2"/>
      <b val="1"/>
      <color rgb="FFFFFFFF"/>
      <sz val="9"/>
    </font>
    <font>
      <name val="Arial"/>
      <family val="2"/>
      <color rgb="FF17212B"/>
      <sz val="9"/>
    </font>
    <font>
      <name val="Arial"/>
      <family val="2"/>
      <i val="1"/>
      <color rgb="FF3F3296"/>
      <sz val="9"/>
    </font>
    <font>
      <name val="Arial"/>
      <family val="2"/>
      <sz val="11"/>
    </font>
    <font>
      <name val="Arial"/>
      <family val="2"/>
      <color rgb="FF0432FF"/>
      <sz val="9"/>
    </font>
    <font>
      <name val="Arial"/>
      <family val="2"/>
      <color rgb="FF253044"/>
      <sz val="9"/>
    </font>
    <font>
      <name val="Arial"/>
      <color rgb="FF253044"/>
      <sz val="10"/>
    </font>
    <font>
      <name val="Arial"/>
      <b val="1"/>
      <color rgb="FFFFFFFF"/>
      <sz val="14"/>
    </font>
    <font>
      <name val="Arial"/>
      <b val="1"/>
      <color rgb="FFFFFFFF"/>
      <sz val="10"/>
    </font>
    <font>
      <name val="Arial"/>
      <b val="1"/>
      <color rgb="FF43338F"/>
      <sz val="10"/>
    </font>
    <font>
      <name val="Arial"/>
      <color rgb="FF253044"/>
      <sz val="9"/>
    </font>
    <font>
      <name val="Arial"/>
      <b val="1"/>
      <color rgb="FF43338F"/>
      <sz val="9"/>
    </font>
    <font>
      <name val="Arial"/>
      <b val="1"/>
      <color rgb="FFFFFFFF"/>
      <sz val="9"/>
    </font>
    <font>
      <name val="Arial"/>
      <color rgb="FF2359BB"/>
      <sz val="9"/>
    </font>
    <font>
      <name val="Calibri"/>
      <b val="1"/>
      <color rgb="00FFFFFF"/>
      <sz val="16"/>
    </font>
    <font>
      <name val="Calibri"/>
      <b val="1"/>
      <color rgb="00FFFFFF"/>
    </font>
    <font>
      <name val="Calibri"/>
      <sz val="11"/>
    </font>
    <font>
      <name val="Calibri"/>
      <color rgb="000563C1"/>
      <sz val="11"/>
      <u val="single"/>
    </font>
    <font>
      <name val="Calibri"/>
      <b val="1"/>
      <color rgb="00FFFFFF"/>
      <sz val="11"/>
    </font>
  </fonts>
  <fills count="17">
    <fill>
      <patternFill/>
    </fill>
    <fill>
      <patternFill patternType="gray125"/>
    </fill>
    <fill>
      <patternFill patternType="solid">
        <fgColor rgb="FF3F3296"/>
      </patternFill>
    </fill>
    <fill>
      <patternFill patternType="solid">
        <fgColor rgb="FFF2EDFF"/>
      </patternFill>
    </fill>
    <fill>
      <patternFill patternType="solid">
        <fgColor rgb="FFFFFFFF"/>
      </patternFill>
    </fill>
    <fill>
      <patternFill patternType="solid">
        <fgColor rgb="FFFFF2CC"/>
      </patternFill>
    </fill>
    <fill>
      <patternFill patternType="solid">
        <fgColor rgb="FF5E4CC7"/>
      </patternFill>
    </fill>
    <fill>
      <patternFill patternType="solid">
        <fgColor rgb="FFFAF8FF"/>
      </patternFill>
    </fill>
    <fill>
      <patternFill patternType="solid">
        <fgColor rgb="FFFFF2CC"/>
      </patternFill>
    </fill>
    <fill>
      <patternFill patternType="solid">
        <fgColor rgb="FF43338F"/>
      </patternFill>
    </fill>
    <fill>
      <patternFill patternType="solid">
        <fgColor rgb="FFF1ECFE"/>
      </patternFill>
    </fill>
    <fill>
      <patternFill patternType="solid">
        <fgColor rgb="FF5E4CC7"/>
      </patternFill>
    </fill>
    <fill>
      <patternFill patternType="solid">
        <fgColor rgb="FFFFFFFF"/>
      </patternFill>
    </fill>
    <fill>
      <patternFill patternType="solid">
        <fgColor rgb="FFF8F6FF"/>
      </patternFill>
    </fill>
    <fill>
      <patternFill patternType="solid">
        <fgColor rgb="FFFFF4CC"/>
      </patternFill>
    </fill>
    <fill>
      <patternFill patternType="solid">
        <fgColor rgb="0017365D"/>
      </patternFill>
    </fill>
    <fill>
      <patternFill patternType="solid">
        <fgColor rgb="00FFF2CC"/>
      </patternFill>
    </fill>
  </fills>
  <borders count="26">
    <border>
      <left/>
      <right/>
      <top/>
      <bottom/>
      <diagonal/>
    </border>
    <border>
      <left style="thin">
        <color rgb="FFD9E0E6"/>
      </left>
      <right style="thin">
        <color rgb="FFD9E0E6"/>
      </right>
      <top style="thin">
        <color rgb="FFD9E0E6"/>
      </top>
      <bottom style="thin">
        <color rgb="FFD9E0E6"/>
      </bottom>
      <diagonal/>
    </border>
    <border>
      <left style="thin">
        <color rgb="FFD6C26E"/>
      </left>
      <right style="thin">
        <color rgb="FFD6C26E"/>
      </right>
      <top style="thin">
        <color rgb="FFD6C26E"/>
      </top>
      <bottom style="thin">
        <color rgb="FFD6C26E"/>
      </bottom>
      <diagonal/>
    </border>
    <border>
      <left style="thin">
        <color rgb="FFECE8FA"/>
      </left>
      <right/>
      <top style="thin">
        <color rgb="FFECE8FA"/>
      </top>
      <bottom style="thin">
        <color rgb="FFECE8FA"/>
      </bottom>
      <diagonal/>
    </border>
    <border>
      <left/>
      <right/>
      <top style="thin">
        <color rgb="FFECE8FA"/>
      </top>
      <bottom style="thin">
        <color rgb="FFECE8FA"/>
      </bottom>
      <diagonal/>
    </border>
    <border>
      <left/>
      <right style="thin">
        <color rgb="FFECE8FA"/>
      </right>
      <top style="thin">
        <color rgb="FFECE8FA"/>
      </top>
      <bottom style="thin">
        <color rgb="FFECE8FA"/>
      </bottom>
      <diagonal/>
    </border>
    <border>
      <left style="thin">
        <color rgb="FFECE8FA"/>
      </left>
      <right/>
      <top style="thin">
        <color rgb="FFECE8FA"/>
      </top>
      <bottom/>
      <diagonal/>
    </border>
    <border>
      <left/>
      <right/>
      <top style="thin">
        <color rgb="FFECE8FA"/>
      </top>
      <bottom/>
      <diagonal/>
    </border>
    <border>
      <left/>
      <right style="thin">
        <color rgb="FFECE8FA"/>
      </right>
      <top style="thin">
        <color rgb="FFECE8FA"/>
      </top>
      <bottom/>
      <diagonal/>
    </border>
    <border>
      <left style="thin">
        <color rgb="FFECE8FA"/>
      </left>
      <right/>
      <top/>
      <bottom style="thin">
        <color rgb="FFECE8FA"/>
      </bottom>
      <diagonal/>
    </border>
    <border>
      <left/>
      <right/>
      <top/>
      <bottom style="thin">
        <color rgb="FFECE8FA"/>
      </bottom>
      <diagonal/>
    </border>
    <border>
      <left/>
      <right style="thin">
        <color rgb="FFECE8FA"/>
      </right>
      <top/>
      <bottom style="thin">
        <color rgb="FFECE8FA"/>
      </bottom>
      <diagonal/>
    </border>
    <border>
      <left style="thin">
        <color rgb="FFD6C26E"/>
      </left>
      <right/>
      <top style="thin">
        <color rgb="FFD9E0E6"/>
      </top>
      <bottom style="thin">
        <color rgb="FFD9E0E6"/>
      </bottom>
      <diagonal/>
    </border>
    <border>
      <left/>
      <right style="thin">
        <color rgb="FFD6C26E"/>
      </right>
      <top style="thin">
        <color rgb="FFD9E0E6"/>
      </top>
      <bottom style="thin">
        <color rgb="FFD9E0E6"/>
      </bottom>
      <diagonal/>
    </border>
    <border>
      <left/>
      <right style="thin">
        <color rgb="FFD9E0E6"/>
      </right>
      <top/>
      <bottom/>
      <diagonal/>
    </border>
    <border>
      <left style="thin">
        <color rgb="FFD9E0E6"/>
      </left>
      <right/>
      <top/>
      <bottom/>
      <diagonal/>
    </border>
    <border>
      <left style="thin">
        <color rgb="FFECE8FA"/>
      </left>
      <right style="thin">
        <color rgb="FFECE8FA"/>
      </right>
      <top style="thin">
        <color rgb="FFECE8FA"/>
      </top>
      <bottom style="thin">
        <color rgb="FFECE8FA"/>
      </bottom>
      <diagonal/>
    </border>
    <border>
      <left style="thin">
        <color rgb="FFECE8FA"/>
      </left>
      <right/>
      <top/>
      <bottom/>
      <diagonal/>
    </border>
    <border>
      <left/>
      <right style="thin">
        <color rgb="FFECE8FA"/>
      </right>
      <top/>
      <bottom/>
      <diagonal/>
    </border>
    <border>
      <left/>
      <right/>
      <top style="thin">
        <color rgb="FFD6C26E"/>
      </top>
      <bottom/>
      <diagonal/>
    </border>
    <border>
      <left/>
      <right style="thin">
        <color rgb="FFD6C26E"/>
      </right>
      <top style="thin">
        <color rgb="FFD6C26E"/>
      </top>
      <bottom/>
      <diagonal/>
    </border>
    <border>
      <left/>
      <right/>
      <top style="thin">
        <color rgb="FFD6C26E"/>
      </top>
      <bottom style="thin">
        <color rgb="FFD6C26E"/>
      </bottom>
      <diagonal/>
    </border>
    <border>
      <left/>
      <right style="thin">
        <color rgb="FFD6C26E"/>
      </right>
      <top style="thin">
        <color rgb="FFD6C26E"/>
      </top>
      <bottom style="thin">
        <color rgb="FFD6C26E"/>
      </bottom>
      <diagonal/>
    </border>
    <border>
      <left style="thin">
        <color rgb="FFD6C26E"/>
      </left>
      <right style="thin">
        <color rgb="FFD6C26E"/>
      </right>
      <top style="thin">
        <color rgb="FFD9E0E6"/>
      </top>
      <bottom style="thin">
        <color rgb="FFD9E0E6"/>
      </bottom>
      <diagonal/>
    </border>
    <border>
      <left/>
      <right/>
      <top style="thin">
        <color rgb="FFD9E0E6"/>
      </top>
      <bottom/>
      <diagonal/>
    </border>
    <border>
      <left/>
      <right style="thin">
        <color rgb="FFD6C26E"/>
      </right>
      <top style="thin">
        <color rgb="FFD9E0E6"/>
      </top>
      <bottom/>
      <diagonal/>
    </border>
  </borders>
  <cellStyleXfs count="1">
    <xf numFmtId="0" fontId="0" fillId="0" borderId="0"/>
  </cellStyleXfs>
  <cellXfs count="156">
    <xf numFmtId="0" fontId="0" fillId="0" borderId="0" pivotButton="0" quotePrefix="0" xfId="0"/>
    <xf numFmtId="0" fontId="10" fillId="6" borderId="1" applyAlignment="1" pivotButton="0" quotePrefix="0" xfId="0">
      <alignment horizontal="center" vertical="center" wrapText="1"/>
    </xf>
    <xf numFmtId="164" fontId="10" fillId="6" borderId="1" applyAlignment="1" pivotButton="0" quotePrefix="0" xfId="0">
      <alignment horizontal="center" vertical="center" wrapText="1"/>
    </xf>
    <xf numFmtId="0" fontId="11" fillId="4" borderId="1" applyAlignment="1" pivotButton="0" quotePrefix="0" xfId="0">
      <alignment horizontal="left" vertical="center"/>
    </xf>
    <xf numFmtId="0" fontId="11" fillId="7" borderId="1" applyAlignment="1" pivotButton="0" quotePrefix="0" xfId="0">
      <alignment horizontal="left" vertical="center"/>
    </xf>
    <xf numFmtId="0" fontId="4" fillId="7" borderId="1" applyAlignment="1" pivotButton="0" quotePrefix="0" xfId="0">
      <alignment horizontal="left" vertical="center"/>
    </xf>
    <xf numFmtId="0" fontId="4" fillId="4" borderId="1" applyAlignment="1" pivotButton="0" quotePrefix="0" xfId="0">
      <alignment horizontal="left" vertical="center"/>
    </xf>
    <xf numFmtId="0" fontId="11" fillId="7" borderId="1" applyAlignment="1" pivotButton="0" quotePrefix="0" xfId="0">
      <alignment horizontal="center" vertical="center"/>
    </xf>
    <xf numFmtId="0" fontId="11" fillId="4" borderId="1" applyAlignment="1" pivotButton="0" quotePrefix="0" xfId="0">
      <alignment horizontal="center" vertical="center"/>
    </xf>
    <xf numFmtId="164" fontId="11" fillId="7" borderId="1" applyAlignment="1" pivotButton="0" quotePrefix="0" xfId="0">
      <alignment horizontal="center" vertical="center"/>
    </xf>
    <xf numFmtId="164" fontId="11" fillId="4" borderId="1" applyAlignment="1" pivotButton="0" quotePrefix="0" xfId="0">
      <alignment horizontal="center" vertical="center"/>
    </xf>
    <xf numFmtId="165" fontId="11" fillId="3" borderId="1" applyAlignment="1" pivotButton="0" quotePrefix="0" xfId="0">
      <alignment horizontal="center" vertical="center"/>
    </xf>
    <xf numFmtId="166" fontId="11" fillId="4" borderId="1" applyAlignment="1" pivotButton="0" quotePrefix="0" xfId="0">
      <alignment horizontal="left" vertical="center"/>
    </xf>
    <xf numFmtId="166" fontId="11" fillId="7" borderId="1" applyAlignment="1" pivotButton="0" quotePrefix="0" xfId="0">
      <alignment horizontal="left" vertical="center"/>
    </xf>
    <xf numFmtId="0" fontId="0" fillId="0" borderId="0" applyAlignment="1" pivotButton="0" quotePrefix="0" xfId="0">
      <alignment vertical="center"/>
    </xf>
    <xf numFmtId="0" fontId="13" fillId="0" borderId="0" applyAlignment="1" pivotButton="0" quotePrefix="0" xfId="0">
      <alignment vertical="center"/>
    </xf>
    <xf numFmtId="164" fontId="14" fillId="7" borderId="1" applyAlignment="1" pivotButton="0" quotePrefix="0" xfId="0">
      <alignment horizontal="center" vertical="center"/>
    </xf>
    <xf numFmtId="164" fontId="14" fillId="4" borderId="1" applyAlignment="1" pivotButton="0" quotePrefix="0" xfId="0">
      <alignment horizontal="center" vertical="center"/>
    </xf>
    <xf numFmtId="0" fontId="4" fillId="4" borderId="1" applyAlignment="1" pivotButton="0" quotePrefix="0" xfId="0">
      <alignment horizontal="center" vertical="center" wrapText="1"/>
    </xf>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14" fillId="8" borderId="2" applyAlignment="1" pivotButton="0" quotePrefix="0" xfId="0">
      <alignment horizontal="left" vertical="center"/>
    </xf>
    <xf numFmtId="0" fontId="14" fillId="5" borderId="2" applyAlignment="1" pivotButton="0" quotePrefix="0" xfId="0">
      <alignment horizontal="left" vertical="center"/>
    </xf>
    <xf numFmtId="0" fontId="5" fillId="2" borderId="3" applyAlignment="1" pivotButton="0" quotePrefix="0" xfId="0">
      <alignment horizontal="center" vertical="center"/>
    </xf>
    <xf numFmtId="0" fontId="5" fillId="2" borderId="4" applyAlignment="1" pivotButton="0" quotePrefix="0" xfId="0">
      <alignment horizontal="center" vertical="center"/>
    </xf>
    <xf numFmtId="0" fontId="5" fillId="2" borderId="5" applyAlignment="1" pivotButton="0" quotePrefix="0" xfId="0">
      <alignment horizontal="center" vertical="center"/>
    </xf>
    <xf numFmtId="0" fontId="4" fillId="4" borderId="12" applyAlignment="1" pivotButton="0" quotePrefix="0" xfId="0">
      <alignment horizontal="center" vertical="center" wrapText="1"/>
    </xf>
    <xf numFmtId="0" fontId="4" fillId="4" borderId="13" applyAlignment="1" pivotButton="0" quotePrefix="0" xfId="0">
      <alignment horizontal="center" vertical="center" wrapText="1"/>
    </xf>
    <xf numFmtId="0" fontId="12" fillId="3" borderId="6" applyAlignment="1" pivotButton="0" quotePrefix="0" xfId="0">
      <alignment horizontal="left" vertical="center" wrapText="1"/>
    </xf>
    <xf numFmtId="0" fontId="12" fillId="3" borderId="7" applyAlignment="1" pivotButton="0" quotePrefix="0" xfId="0">
      <alignment horizontal="left" vertical="center" wrapText="1"/>
    </xf>
    <xf numFmtId="0" fontId="12" fillId="3" borderId="8" applyAlignment="1" pivotButton="0" quotePrefix="0" xfId="0">
      <alignment horizontal="left" vertical="center" wrapText="1"/>
    </xf>
    <xf numFmtId="0" fontId="12" fillId="3" borderId="9" applyAlignment="1" pivotButton="0" quotePrefix="0" xfId="0">
      <alignment horizontal="left" vertical="center" wrapText="1"/>
    </xf>
    <xf numFmtId="0" fontId="12" fillId="3" borderId="10" applyAlignment="1" pivotButton="0" quotePrefix="0" xfId="0">
      <alignment horizontal="left" vertical="center" wrapText="1"/>
    </xf>
    <xf numFmtId="0" fontId="12" fillId="3" borderId="11" applyAlignment="1" pivotButton="0" quotePrefix="0" xfId="0">
      <alignment horizontal="left" vertical="center" wrapText="1"/>
    </xf>
    <xf numFmtId="165" fontId="8" fillId="3" borderId="3" applyAlignment="1" pivotButton="0" quotePrefix="0" xfId="0">
      <alignment horizontal="center" vertical="center"/>
    </xf>
    <xf numFmtId="165" fontId="8" fillId="3" borderId="4" applyAlignment="1" pivotButton="0" quotePrefix="0" xfId="0">
      <alignment horizontal="center" vertical="center"/>
    </xf>
    <xf numFmtId="165" fontId="8" fillId="3" borderId="5" applyAlignment="1" pivotButton="0" quotePrefix="0" xfId="0">
      <alignment horizontal="center" vertical="center"/>
    </xf>
    <xf numFmtId="165" fontId="9" fillId="3" borderId="3" applyAlignment="1" pivotButton="0" quotePrefix="0" xfId="0">
      <alignment horizontal="center" vertical="center"/>
    </xf>
    <xf numFmtId="165" fontId="9" fillId="3" borderId="4" applyAlignment="1" pivotButton="0" quotePrefix="0" xfId="0">
      <alignment horizontal="center" vertical="center"/>
    </xf>
    <xf numFmtId="165" fontId="9" fillId="3" borderId="5" applyAlignment="1" pivotButton="0" quotePrefix="0" xfId="0">
      <alignment horizontal="center" vertical="center"/>
    </xf>
    <xf numFmtId="167" fontId="14" fillId="5" borderId="2" applyAlignment="1" pivotButton="0" quotePrefix="0" xfId="0">
      <alignment horizontal="left" vertical="center"/>
    </xf>
    <xf numFmtId="165" fontId="6" fillId="3" borderId="3" applyAlignment="1" pivotButton="0" quotePrefix="0" xfId="0">
      <alignment horizontal="center" vertical="center"/>
    </xf>
    <xf numFmtId="165" fontId="6" fillId="3" borderId="4" applyAlignment="1" pivotButton="0" quotePrefix="0" xfId="0">
      <alignment horizontal="center" vertical="center"/>
    </xf>
    <xf numFmtId="165" fontId="6" fillId="3" borderId="5" applyAlignment="1" pivotButton="0" quotePrefix="0" xfId="0">
      <alignment horizontal="center" vertical="center"/>
    </xf>
    <xf numFmtId="165" fontId="7" fillId="3" borderId="3" applyAlignment="1" pivotButton="0" quotePrefix="0" xfId="0">
      <alignment horizontal="center" vertical="center"/>
    </xf>
    <xf numFmtId="165" fontId="7" fillId="3" borderId="4" applyAlignment="1" pivotButton="0" quotePrefix="0" xfId="0">
      <alignment horizontal="center" vertical="center"/>
    </xf>
    <xf numFmtId="165" fontId="7" fillId="3" borderId="5" applyAlignment="1" pivotButton="0" quotePrefix="0" xfId="0">
      <alignment horizontal="center" vertical="center"/>
    </xf>
    <xf numFmtId="168" fontId="14" fillId="5" borderId="2" applyAlignment="1" pivotButton="0" quotePrefix="0" xfId="0">
      <alignment horizontal="left" vertical="center"/>
    </xf>
    <xf numFmtId="0" fontId="11" fillId="7" borderId="1" applyAlignment="1" pivotButton="0" quotePrefix="0" xfId="0">
      <alignment horizontal="left" vertical="center" wrapText="1"/>
    </xf>
    <xf numFmtId="0" fontId="11" fillId="4" borderId="1" applyAlignment="1" pivotButton="0" quotePrefix="0" xfId="0">
      <alignment horizontal="left" vertical="center" wrapText="1"/>
    </xf>
    <xf numFmtId="164" fontId="15" fillId="7" borderId="1" applyAlignment="1" pivotButton="0" quotePrefix="0" xfId="0">
      <alignment horizontal="center" vertical="center"/>
    </xf>
    <xf numFmtId="164" fontId="15" fillId="4" borderId="1" applyAlignment="1" pivotButton="0" quotePrefix="0" xfId="0">
      <alignment horizontal="center" vertical="center"/>
    </xf>
    <xf numFmtId="169" fontId="15" fillId="7" borderId="1" applyAlignment="1" pivotButton="0" quotePrefix="0" xfId="0">
      <alignment horizontal="center" vertical="center"/>
    </xf>
    <xf numFmtId="169" fontId="15" fillId="4" borderId="1" applyAlignment="1" pivotButton="0" quotePrefix="0" xfId="0">
      <alignment horizontal="center" vertical="center"/>
    </xf>
    <xf numFmtId="1" fontId="11" fillId="3" borderId="1" applyAlignment="1" pivotButton="0" quotePrefix="0" xfId="0">
      <alignment horizontal="center" vertical="center"/>
    </xf>
    <xf numFmtId="170" fontId="10" fillId="6" borderId="1" applyAlignment="1" pivotButton="0" quotePrefix="0" xfId="0">
      <alignment horizontal="center" vertical="center" wrapText="1"/>
    </xf>
    <xf numFmtId="0" fontId="16" fillId="0" borderId="0" pivotButton="0" quotePrefix="0" xfId="0"/>
    <xf numFmtId="0" fontId="16" fillId="0" borderId="0" applyAlignment="1" pivotButton="0" quotePrefix="0" xfId="0">
      <alignment vertical="center"/>
    </xf>
    <xf numFmtId="0" fontId="16" fillId="9" borderId="0" applyAlignment="1" pivotButton="0" quotePrefix="0" xfId="0">
      <alignment vertical="center"/>
    </xf>
    <xf numFmtId="0" fontId="17" fillId="9" borderId="0" applyAlignment="1" pivotButton="0" quotePrefix="0" xfId="0">
      <alignment vertical="center"/>
    </xf>
    <xf numFmtId="0" fontId="16" fillId="10" borderId="0" applyAlignment="1" pivotButton="0" quotePrefix="0" xfId="0">
      <alignment vertical="center"/>
    </xf>
    <xf numFmtId="0" fontId="16" fillId="10" borderId="0" applyAlignment="1" pivotButton="0" quotePrefix="0" xfId="0">
      <alignment vertical="center" wrapText="1"/>
    </xf>
    <xf numFmtId="0" fontId="16" fillId="11" borderId="0" applyAlignment="1" pivotButton="0" quotePrefix="0" xfId="0">
      <alignment vertical="center"/>
    </xf>
    <xf numFmtId="0" fontId="18" fillId="11" borderId="0" applyAlignment="1" pivotButton="0" quotePrefix="0" xfId="0">
      <alignment vertical="center"/>
    </xf>
    <xf numFmtId="0" fontId="18" fillId="11" borderId="0" applyAlignment="1" pivotButton="0" quotePrefix="0" xfId="0">
      <alignment vertical="center" wrapText="1"/>
    </xf>
    <xf numFmtId="0" fontId="18" fillId="11" borderId="0" applyAlignment="1" pivotButton="0" quotePrefix="0" xfId="0">
      <alignment horizontal="center" vertical="center" wrapText="1"/>
    </xf>
    <xf numFmtId="0" fontId="16" fillId="0" borderId="0" applyAlignment="1" pivotButton="0" quotePrefix="0" xfId="0">
      <alignment vertical="center" wrapText="1"/>
    </xf>
    <xf numFmtId="0" fontId="16" fillId="0" borderId="14" applyAlignment="1" pivotButton="0" quotePrefix="0" xfId="0">
      <alignment vertical="center" wrapText="1"/>
    </xf>
    <xf numFmtId="0" fontId="16" fillId="0" borderId="15" applyAlignment="1" pivotButton="0" quotePrefix="0" xfId="0">
      <alignment vertical="center" wrapText="1"/>
    </xf>
    <xf numFmtId="0" fontId="16" fillId="12" borderId="0" applyAlignment="1" pivotButton="0" quotePrefix="0" xfId="0">
      <alignment vertical="center" wrapText="1"/>
    </xf>
    <xf numFmtId="0" fontId="16" fillId="12" borderId="14" applyAlignment="1" pivotButton="0" quotePrefix="0" xfId="0">
      <alignment vertical="center" wrapText="1"/>
    </xf>
    <xf numFmtId="0" fontId="16" fillId="12" borderId="15" applyAlignment="1" pivotButton="0" quotePrefix="0" xfId="0">
      <alignment vertical="center" wrapText="1"/>
    </xf>
    <xf numFmtId="0" fontId="16" fillId="13" borderId="0" applyAlignment="1" pivotButton="0" quotePrefix="0" xfId="0">
      <alignment vertical="center" wrapText="1"/>
    </xf>
    <xf numFmtId="0" fontId="16" fillId="13" borderId="14" applyAlignment="1" pivotButton="0" quotePrefix="0" xfId="0">
      <alignment vertical="center" wrapText="1"/>
    </xf>
    <xf numFmtId="0" fontId="16" fillId="13" borderId="15" applyAlignment="1" pivotButton="0" quotePrefix="0" xfId="0">
      <alignment vertical="center" wrapText="1"/>
    </xf>
    <xf numFmtId="0" fontId="16" fillId="14" borderId="0" applyAlignment="1" pivotButton="0" quotePrefix="0" xfId="0">
      <alignment vertical="center" wrapText="1"/>
    </xf>
    <xf numFmtId="0" fontId="16" fillId="12" borderId="0" applyAlignment="1" pivotButton="0" quotePrefix="0" xfId="0">
      <alignment horizontal="center" vertical="center" wrapText="1"/>
    </xf>
    <xf numFmtId="0" fontId="16" fillId="14" borderId="0" applyAlignment="1" pivotButton="0" quotePrefix="0" xfId="0">
      <alignment horizontal="center" vertical="center" wrapText="1"/>
    </xf>
    <xf numFmtId="0" fontId="16" fillId="13" borderId="0" applyAlignment="1" pivotButton="0" quotePrefix="0" xfId="0">
      <alignment horizontal="center" vertical="center" wrapText="1"/>
    </xf>
    <xf numFmtId="0" fontId="16" fillId="12" borderId="0" applyAlignment="1" pivotButton="0" quotePrefix="0" xfId="0">
      <alignment horizontal="right" vertical="center" wrapText="1"/>
    </xf>
    <xf numFmtId="0" fontId="16" fillId="13" borderId="0" applyAlignment="1" pivotButton="0" quotePrefix="0" xfId="0">
      <alignment horizontal="right" vertical="center" wrapText="1"/>
    </xf>
    <xf numFmtId="0" fontId="16" fillId="14" borderId="0" applyAlignment="1" pivotButton="0" quotePrefix="0" xfId="0">
      <alignment horizontal="right" vertical="center" wrapText="1"/>
    </xf>
    <xf numFmtId="1" fontId="16" fillId="14" borderId="0" applyAlignment="1" pivotButton="0" quotePrefix="0" xfId="0">
      <alignment horizontal="center" vertical="center" wrapText="1"/>
    </xf>
    <xf numFmtId="171" fontId="16" fillId="12" borderId="0" applyAlignment="1" pivotButton="0" quotePrefix="0" xfId="0">
      <alignment horizontal="right" vertical="center" wrapText="1"/>
    </xf>
    <xf numFmtId="171" fontId="16" fillId="14" borderId="0" applyAlignment="1" pivotButton="0" quotePrefix="0" xfId="0">
      <alignment vertical="center" wrapText="1"/>
    </xf>
    <xf numFmtId="171" fontId="16" fillId="14" borderId="0" applyAlignment="1" pivotButton="0" quotePrefix="0" xfId="0">
      <alignment horizontal="right" vertical="center" wrapText="1"/>
    </xf>
    <xf numFmtId="171" fontId="16" fillId="13" borderId="0" applyAlignment="1" pivotButton="0" quotePrefix="0" xfId="0">
      <alignment horizontal="right" vertical="center" wrapText="1"/>
    </xf>
    <xf numFmtId="49" fontId="16" fillId="14" borderId="0" applyAlignment="1" pivotButton="0" quotePrefix="0" xfId="0">
      <alignment vertical="center" wrapText="1"/>
    </xf>
    <xf numFmtId="0" fontId="19" fillId="10" borderId="0" applyAlignment="1" pivotButton="0" quotePrefix="0" xfId="0">
      <alignment vertical="center"/>
    </xf>
    <xf numFmtId="0" fontId="16" fillId="12" borderId="0" applyAlignment="1" pivotButton="0" quotePrefix="0" xfId="0">
      <alignment vertical="center"/>
    </xf>
    <xf numFmtId="0" fontId="16" fillId="13" borderId="0" applyAlignment="1" pivotButton="0" quotePrefix="0" xfId="0">
      <alignment vertical="center"/>
    </xf>
    <xf numFmtId="0" fontId="20" fillId="0" borderId="0" applyAlignment="1" pivotButton="0" quotePrefix="0" xfId="0">
      <alignment vertical="center"/>
    </xf>
    <xf numFmtId="0" fontId="20" fillId="10" borderId="0" applyAlignment="1" pivotButton="0" quotePrefix="0" xfId="0">
      <alignment vertical="center"/>
    </xf>
    <xf numFmtId="0" fontId="21" fillId="10" borderId="0" applyAlignment="1" pivotButton="0" quotePrefix="0" xfId="0">
      <alignment vertical="center"/>
    </xf>
    <xf numFmtId="0" fontId="20" fillId="11" borderId="0" applyAlignment="1" pivotButton="0" quotePrefix="0" xfId="0">
      <alignment vertical="center"/>
    </xf>
    <xf numFmtId="0" fontId="22" fillId="11" borderId="0" applyAlignment="1" pivotButton="0" quotePrefix="0" xfId="0">
      <alignment vertical="center"/>
    </xf>
    <xf numFmtId="0" fontId="22" fillId="11" borderId="0" applyAlignment="1" pivotButton="0" quotePrefix="0" xfId="0">
      <alignment vertical="center" wrapText="1"/>
    </xf>
    <xf numFmtId="0" fontId="22" fillId="11" borderId="0" applyAlignment="1" pivotButton="0" quotePrefix="0" xfId="0">
      <alignment horizontal="center" vertical="center" wrapText="1"/>
    </xf>
    <xf numFmtId="0" fontId="20" fillId="14" borderId="0" applyAlignment="1" pivotButton="0" quotePrefix="0" xfId="0">
      <alignment vertical="center"/>
    </xf>
    <xf numFmtId="0" fontId="23" fillId="14" borderId="0" applyAlignment="1" pivotButton="0" quotePrefix="0" xfId="0">
      <alignment vertical="center"/>
    </xf>
    <xf numFmtId="1" fontId="20" fillId="0" borderId="0" applyAlignment="1" pivotButton="0" quotePrefix="0" xfId="0">
      <alignment vertical="center"/>
    </xf>
    <xf numFmtId="0" fontId="20" fillId="13" borderId="0" applyAlignment="1" pivotButton="0" quotePrefix="0" xfId="0">
      <alignment vertical="center"/>
    </xf>
    <xf numFmtId="0" fontId="20" fillId="12" borderId="0" applyAlignment="1" pivotButton="0" quotePrefix="0" xfId="0">
      <alignment vertical="center"/>
    </xf>
    <xf numFmtId="169" fontId="20" fillId="13" borderId="0" applyAlignment="1" pivotButton="0" quotePrefix="0" xfId="0">
      <alignment vertical="center"/>
    </xf>
    <xf numFmtId="169" fontId="20" fillId="12" borderId="0" applyAlignment="1" pivotButton="0" quotePrefix="0" xfId="0">
      <alignment vertical="center"/>
    </xf>
    <xf numFmtId="171" fontId="20" fillId="13" borderId="0" applyAlignment="1" pivotButton="0" quotePrefix="0" xfId="0">
      <alignment vertical="center"/>
    </xf>
    <xf numFmtId="171" fontId="20" fillId="12" borderId="0" applyAlignment="1" pivotButton="0" quotePrefix="0" xfId="0">
      <alignment vertical="center"/>
    </xf>
    <xf numFmtId="0" fontId="20" fillId="13" borderId="0" applyAlignment="1" pivotButton="0" quotePrefix="0" xfId="0">
      <alignment vertical="center" wrapText="1"/>
    </xf>
    <xf numFmtId="0" fontId="20" fillId="12" borderId="0" applyAlignment="1" pivotButton="0" quotePrefix="0" xfId="0">
      <alignment vertical="center" wrapText="1"/>
    </xf>
    <xf numFmtId="0" fontId="20" fillId="13" borderId="0" applyAlignment="1" pivotButton="0" quotePrefix="0" xfId="0">
      <alignment horizontal="center" vertical="center" wrapText="1"/>
    </xf>
    <xf numFmtId="0" fontId="20" fillId="12" borderId="0" applyAlignment="1" pivotButton="0" quotePrefix="0" xfId="0">
      <alignment horizontal="center" vertical="center" wrapText="1"/>
    </xf>
    <xf numFmtId="0" fontId="20" fillId="10" borderId="0" applyAlignment="1" pivotButton="0" quotePrefix="0" xfId="0">
      <alignment vertical="center" wrapText="1"/>
    </xf>
    <xf numFmtId="0" fontId="20" fillId="0" borderId="0" applyAlignment="1" pivotButton="0" quotePrefix="0" xfId="0">
      <alignment vertical="center" wrapText="1"/>
    </xf>
    <xf numFmtId="0" fontId="0" fillId="0" borderId="21" pivotButton="0" quotePrefix="0" xfId="0"/>
    <xf numFmtId="0" fontId="0" fillId="0" borderId="22" pivotButton="0" quotePrefix="0" xfId="0"/>
    <xf numFmtId="0" fontId="4" fillId="4" borderId="23" applyAlignment="1" pivotButton="0" quotePrefix="0" xfId="0">
      <alignment horizontal="center" vertical="center" wrapText="1"/>
    </xf>
    <xf numFmtId="0" fontId="0" fillId="0" borderId="13" pivotButton="0" quotePrefix="0" xfId="0"/>
    <xf numFmtId="0" fontId="5" fillId="2" borderId="16" applyAlignment="1" pivotButton="0" quotePrefix="0" xfId="0">
      <alignment horizontal="center" vertical="center"/>
    </xf>
    <xf numFmtId="0" fontId="0" fillId="0" borderId="4" pivotButton="0" quotePrefix="0" xfId="0"/>
    <xf numFmtId="0" fontId="0" fillId="0" borderId="5" pivotButton="0" quotePrefix="0" xfId="0"/>
    <xf numFmtId="168" fontId="14" fillId="5" borderId="2" applyAlignment="1" pivotButton="0" quotePrefix="0" xfId="0">
      <alignment horizontal="left" vertical="center"/>
    </xf>
    <xf numFmtId="165" fontId="6" fillId="3" borderId="16" applyAlignment="1" pivotButton="0" quotePrefix="0" xfId="0">
      <alignment horizontal="center" vertical="center"/>
    </xf>
    <xf numFmtId="165" fontId="7" fillId="3" borderId="16" applyAlignment="1" pivotButton="0" quotePrefix="0" xfId="0">
      <alignment horizontal="center" vertical="center"/>
    </xf>
    <xf numFmtId="165" fontId="8" fillId="3" borderId="16" applyAlignment="1" pivotButton="0" quotePrefix="0" xfId="0">
      <alignment horizontal="center" vertical="center"/>
    </xf>
    <xf numFmtId="165" fontId="9" fillId="3" borderId="16" applyAlignment="1" pivotButton="0" quotePrefix="0" xfId="0">
      <alignment horizontal="center" vertical="center"/>
    </xf>
    <xf numFmtId="170" fontId="10" fillId="6" borderId="1" applyAlignment="1" pivotButton="0" quotePrefix="0" xfId="0">
      <alignment horizontal="center" vertical="center" wrapText="1"/>
    </xf>
    <xf numFmtId="169" fontId="15" fillId="7" borderId="1" applyAlignment="1" pivotButton="0" quotePrefix="0" xfId="0">
      <alignment horizontal="center" vertical="center"/>
    </xf>
    <xf numFmtId="1" fontId="11" fillId="3" borderId="1" applyAlignment="1" pivotButton="0" quotePrefix="0" xfId="0">
      <alignment horizontal="center" vertical="center"/>
    </xf>
    <xf numFmtId="166" fontId="11" fillId="4" borderId="1" applyAlignment="1" pivotButton="0" quotePrefix="0" xfId="0">
      <alignment horizontal="left" vertical="center"/>
    </xf>
    <xf numFmtId="166" fontId="11" fillId="7" borderId="1" applyAlignment="1" pivotButton="0" quotePrefix="0" xfId="0">
      <alignment horizontal="left" vertical="center"/>
    </xf>
    <xf numFmtId="169" fontId="15" fillId="4" borderId="1" applyAlignment="1" pivotButton="0" quotePrefix="0" xfId="0">
      <alignment horizontal="center" vertical="center"/>
    </xf>
    <xf numFmtId="0" fontId="12" fillId="3" borderId="16"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169" fontId="20" fillId="13" borderId="0" applyAlignment="1" pivotButton="0" quotePrefix="0" xfId="0">
      <alignment vertical="center"/>
    </xf>
    <xf numFmtId="171" fontId="20" fillId="13" borderId="0" applyAlignment="1" pivotButton="0" quotePrefix="0" xfId="0">
      <alignment vertical="center"/>
    </xf>
    <xf numFmtId="169" fontId="20" fillId="12" borderId="0" applyAlignment="1" pivotButton="0" quotePrefix="0" xfId="0">
      <alignment vertical="center"/>
    </xf>
    <xf numFmtId="171" fontId="20" fillId="12" borderId="0" applyAlignment="1" pivotButton="0" quotePrefix="0" xfId="0">
      <alignment vertical="center"/>
    </xf>
    <xf numFmtId="1" fontId="20" fillId="0" borderId="0" applyAlignment="1" pivotButton="0" quotePrefix="0" xfId="0">
      <alignment vertical="center"/>
    </xf>
    <xf numFmtId="1" fontId="16" fillId="14" borderId="0" applyAlignment="1" pivotButton="0" quotePrefix="0" xfId="0">
      <alignment horizontal="center" vertical="center" wrapText="1"/>
    </xf>
    <xf numFmtId="171" fontId="16" fillId="12" borderId="0" applyAlignment="1" pivotButton="0" quotePrefix="0" xfId="0">
      <alignment horizontal="right" vertical="center" wrapText="1"/>
    </xf>
    <xf numFmtId="49" fontId="16" fillId="14" borderId="0" applyAlignment="1" pivotButton="0" quotePrefix="0" xfId="0">
      <alignment vertical="center" wrapText="1"/>
    </xf>
    <xf numFmtId="171" fontId="16" fillId="14" borderId="0" applyAlignment="1" pivotButton="0" quotePrefix="0" xfId="0">
      <alignment horizontal="right" vertical="center" wrapText="1"/>
    </xf>
    <xf numFmtId="171" fontId="16" fillId="13" borderId="0" applyAlignment="1" pivotButton="0" quotePrefix="0" xfId="0">
      <alignment horizontal="right" vertical="center" wrapText="1"/>
    </xf>
    <xf numFmtId="0" fontId="24" fillId="15" borderId="0" pivotButton="0" quotePrefix="0" xfId="0"/>
    <xf numFmtId="0" fontId="0" fillId="0" borderId="0" applyAlignment="1" pivotButton="0" quotePrefix="0" xfId="0">
      <alignment vertical="center" wrapText="1"/>
    </xf>
    <xf numFmtId="168" fontId="0" fillId="16" borderId="0" pivotButton="0" quotePrefix="0" xfId="0"/>
    <xf numFmtId="0" fontId="25" fillId="15" borderId="0" applyAlignment="1" pivotButton="0" quotePrefix="0" xfId="0">
      <alignment vertical="center" wrapText="1"/>
    </xf>
    <xf numFmtId="0" fontId="26" fillId="0" borderId="0" applyAlignment="1" pivotButton="0" quotePrefix="0" xfId="0">
      <alignment vertical="top" wrapText="1"/>
    </xf>
    <xf numFmtId="168" fontId="26" fillId="0" borderId="0" applyAlignment="1" pivotButton="0" quotePrefix="0" xfId="0">
      <alignment vertical="top" wrapText="1"/>
    </xf>
    <xf numFmtId="0" fontId="27" fillId="0" borderId="0" applyAlignment="1" pivotButton="0" quotePrefix="0" xfId="0">
      <alignment vertical="top" wrapText="1"/>
    </xf>
    <xf numFmtId="0" fontId="28" fillId="15" borderId="0" applyAlignment="1" pivotButton="0" quotePrefix="0" xfId="0">
      <alignment vertical="top" wrapText="1"/>
    </xf>
  </cellXfs>
  <cellStyles count="1">
    <cellStyle name="Normal" xfId="0"/>
  </cellStyles>
  <dxfs count="15">
    <dxf>
      <fill>
        <patternFill>
          <bgColor rgb="FFA977F6"/>
        </patternFill>
      </fill>
    </dxf>
    <dxf>
      <fill>
        <patternFill>
          <bgColor rgb="FFFF6675"/>
        </patternFill>
      </fill>
    </dxf>
    <dxf>
      <fill>
        <patternFill>
          <bgColor rgb="FF4D7CFE"/>
        </patternFill>
      </fill>
    </dxf>
    <dxf>
      <fill>
        <patternFill>
          <bgColor rgb="FF00BFA6"/>
        </patternFill>
      </fill>
    </dxf>
    <dxf>
      <font>
        <color rgb="FF7745C3"/>
      </font>
      <fill>
        <patternFill>
          <bgColor rgb="FFF1E9FF"/>
        </patternFill>
      </fill>
    </dxf>
    <dxf>
      <font>
        <b val="1"/>
        <color rgb="FF92400E"/>
      </font>
      <fill>
        <patternFill>
          <bgColor rgb="FFFEF3C7"/>
        </patternFill>
      </fill>
    </dxf>
    <dxf>
      <font>
        <b val="1"/>
        <color rgb="FFC23647"/>
      </font>
      <fill>
        <patternFill>
          <bgColor rgb="FFFFE3EA"/>
        </patternFill>
      </fill>
    </dxf>
    <dxf>
      <font>
        <color rgb="FF7745C3"/>
      </font>
      <fill>
        <patternFill>
          <bgColor rgb="FFF1E9FF"/>
        </patternFill>
      </fill>
    </dxf>
    <dxf>
      <font>
        <b val="1"/>
        <color rgb="FFC23647"/>
      </font>
      <fill>
        <patternFill>
          <bgColor rgb="FFFFE3EA"/>
        </patternFill>
      </fill>
    </dxf>
    <dxf>
      <font>
        <b val="1"/>
        <color rgb="FF3258CD"/>
      </font>
      <fill>
        <patternFill>
          <bgColor rgb="FFE7EEFF"/>
        </patternFill>
      </fill>
    </dxf>
    <dxf>
      <font>
        <b val="1"/>
        <color rgb="FF087E5D"/>
      </font>
      <fill>
        <patternFill>
          <bgColor rgb="FFDDF8F3"/>
        </patternFill>
      </fill>
    </dxf>
    <dxf>
      <font>
        <b val="1"/>
        <color rgb="FFC72745"/>
      </font>
      <fill>
        <patternFill patternType="solid">
          <bgColor rgb="FFFFE0E5"/>
        </patternFill>
      </fill>
    </dxf>
    <dxf>
      <font>
        <b val="1"/>
        <color rgb="FFC72745"/>
      </font>
      <fill>
        <patternFill patternType="solid">
          <bgColor rgb="FFFFE0E5"/>
        </patternFill>
      </fill>
    </dxf>
    <dxf>
      <font>
        <b val="1"/>
        <color rgb="FFC72745"/>
      </font>
      <fill>
        <patternFill patternType="solid">
          <bgColor rgb="FFFFE0E5"/>
        </patternFill>
      </fill>
    </dxf>
    <dxf>
      <font>
        <b val="1"/>
        <color rgb="FF9A6200"/>
      </font>
      <fill>
        <patternFill patternType="solid">
          <bgColor rgb="FFFFF4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BaoCaoTuanGVHD" displayName="BaoCaoTuanGVHD" ref="A6:L26" headerRowCount="1">
  <autoFilter ref="A6:L26"/>
  <tableColumns count="12">
    <tableColumn id="1" name="Tuần"/>
    <tableColumn id="2" name="Từ ngày"/>
    <tableColumn id="3" name="Đến ngày"/>
    <tableColumn id="4" name="Tiến độ và kết quả tuần này"/>
    <tableColumn id="5" name="Khó khăn gặp phải"/>
    <tableColumn id="6" name="Cách giải quyết"/>
    <tableColumn id="7" name="Nhiệm vụ tuần tới"/>
    <tableColumn id="8" name="Tệp / liên kết báo cáo"/>
    <tableColumn id="9" name="Ngày gửi thầy"/>
    <tableColumn id="10" name="Tình trạng báo cáo"/>
    <tableColumn id="11" name="Góp ý của thầy"/>
    <tableColumn id="12" name="Việc cần làm sau góp ý"/>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weekly/Bao_cao_tuan_01_2026-10-26_2026-11-01.docx" TargetMode="Externa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hyperlink" Target="../knowledge/computer-architecture/Bai_hoc_RV32I_Tuan_01_2026-10-26.docx" TargetMode="External" Id="rId1"/><Relationship Type="http://schemas.openxmlformats.org/officeDocument/2006/relationships/hyperlink" Target="../knowledge/computer-architecture/Bai_hoc_RV32I_Tuan_01_2026-10-26.docx" TargetMode="External" Id="rId2"/><Relationship Type="http://schemas.openxmlformats.org/officeDocument/2006/relationships/hyperlink" Target="../knowledge/computer-architecture/Bai_hoc_RV32I_Tuan_01_2026-10-26.docx" TargetMode="External" Id="rId3"/><Relationship Type="http://schemas.openxmlformats.org/officeDocument/2006/relationships/hyperlink" Target="../knowledge/computer-architecture/Bai_hoc_RV32I_Tuan_01_2026-10-26.docx" TargetMode="External" Id="rId4"/><Relationship Type="http://schemas.openxmlformats.org/officeDocument/2006/relationships/hyperlink" Target="../knowledge/computer-architecture/Bai_hoc_RV32I_Tuan_01_2026-10-26.docx" TargetMode="External" Id="rId5"/><Relationship Type="http://schemas.openxmlformats.org/officeDocument/2006/relationships/hyperlink" Target="../knowledge/computer-architecture/Bai_hoc_RV32I_Tuan_01_2026-10-26.docx" TargetMode="External" Id="rId6"/><Relationship Type="http://schemas.openxmlformats.org/officeDocument/2006/relationships/hyperlink" Target="../knowledge/computer-architecture/Bai_hoc_RV32I_Tuan_01_2026-10-26.docx" TargetMode="External" Id="rId7"/></Relationships>
</file>

<file path=xl/worksheets/sheet1.xml><?xml version="1.0" encoding="utf-8"?>
<worksheet xmlns="http://schemas.openxmlformats.org/spreadsheetml/2006/main">
  <sheetPr>
    <outlinePr summaryBelow="1" summaryRight="1"/>
    <pageSetUpPr/>
  </sheetPr>
  <dimension ref="A1:AD68"/>
  <sheetViews>
    <sheetView showGridLines="0" workbookViewId="0">
      <selection activeCell="A1" sqref="A1"/>
    </sheetView>
  </sheetViews>
  <sheetFormatPr baseColWidth="10" defaultColWidth="8.83203125" defaultRowHeight="14"/>
  <cols>
    <col width="3.33203125" customWidth="1" style="14" min="1" max="1"/>
    <col width="19" customWidth="1" style="14" min="2" max="2"/>
    <col width="39" customWidth="1" style="14" min="3" max="3"/>
    <col width="18" customWidth="1" style="14" min="4" max="4"/>
    <col width="15" customWidth="1" style="14" min="5" max="5"/>
    <col width="10" customWidth="1" style="14" min="6" max="6"/>
    <col width="13" customWidth="1" style="14" min="7" max="8"/>
    <col width="10" customWidth="1" style="14" min="9" max="9"/>
    <col width="3" customWidth="1" style="14" min="10" max="10"/>
    <col width="10" customWidth="1" style="14" min="11" max="30"/>
    <col width="8.83203125" customWidth="1" style="14" min="31" max="16384"/>
  </cols>
  <sheetData>
    <row r="1"/>
    <row r="2" ht="32" customHeight="1">
      <c r="B2" s="19" t="inlineStr">
        <is>
          <t>Luận văn RISC-V trên FPGA và Computer Architecture</t>
        </is>
      </c>
      <c r="S2" s="20" t="inlineStr">
        <is>
          <t>HK1 2026–2027</t>
        </is>
      </c>
    </row>
    <row r="3">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row>
    <row r="4" ht="22" customHeight="1">
      <c r="B4" s="21" t="inlineStr">
        <is>
          <t>THÔNG TIN KẾ HOẠCH</t>
        </is>
      </c>
      <c r="J4" s="15" t="n"/>
      <c r="K4" s="21" t="inlineStr">
        <is>
          <t>TIẾN ĐỘ CÔNG VIỆC VÀ MỐC</t>
        </is>
      </c>
    </row>
    <row r="5" ht="22" customHeight="1">
      <c r="B5" s="18" t="inlineStr">
        <is>
          <t>Đề tài</t>
        </is>
      </c>
      <c r="C5" s="22" t="inlineStr">
        <is>
          <t>RV32 FPGA với custom instructions cho DSP</t>
        </is>
      </c>
      <c r="D5" s="114" t="n"/>
      <c r="E5" s="115" t="n"/>
      <c r="F5" s="116" t="inlineStr">
        <is>
          <t>Học viên</t>
        </is>
      </c>
      <c r="G5" s="117" t="n"/>
      <c r="H5" s="23" t="inlineStr">
        <is>
          <t>Nguyễn Hải Minh</t>
        </is>
      </c>
      <c r="I5" s="115" t="n"/>
      <c r="J5" s="15" t="n"/>
      <c r="K5" s="118" t="inlineStr">
        <is>
          <t>TỔNG MỤC</t>
        </is>
      </c>
      <c r="L5" s="119" t="n"/>
      <c r="M5" s="119" t="n"/>
      <c r="N5" s="120" t="n"/>
      <c r="O5" s="118" t="inlineStr">
        <is>
          <t>HOÀN THÀNH</t>
        </is>
      </c>
      <c r="P5" s="119" t="n"/>
      <c r="Q5" s="119" t="n"/>
      <c r="R5" s="120" t="n"/>
      <c r="S5" s="118" t="inlineStr">
        <is>
          <t>ĐANG LÀM</t>
        </is>
      </c>
      <c r="T5" s="119" t="n"/>
      <c r="U5" s="119" t="n"/>
      <c r="V5" s="120" t="n"/>
      <c r="W5" s="118" t="inlineStr">
        <is>
          <t>CÓ RỦI RO</t>
        </is>
      </c>
      <c r="X5" s="119" t="n"/>
      <c r="Y5" s="119" t="n"/>
      <c r="Z5" s="120" t="n"/>
      <c r="AA5" s="118" t="inlineStr">
        <is>
          <t>ƯU TIÊN P0</t>
        </is>
      </c>
      <c r="AB5" s="119" t="n"/>
      <c r="AC5" s="119" t="n"/>
      <c r="AD5" s="120" t="n"/>
    </row>
    <row r="6" ht="22" customHeight="1">
      <c r="B6" s="18" t="inlineStr">
        <is>
          <t>Giai đoạn</t>
        </is>
      </c>
      <c r="C6" s="23" t="inlineStr">
        <is>
          <t>2026.1A và 2026.1B, lịch đề xuất</t>
        </is>
      </c>
      <c r="D6" s="114" t="n"/>
      <c r="E6" s="115" t="n"/>
      <c r="F6" s="116" t="inlineStr">
        <is>
          <t>Ngày bắt đầu</t>
        </is>
      </c>
      <c r="G6" s="117" t="n"/>
      <c r="H6" s="121" t="n">
        <v>46300</v>
      </c>
      <c r="I6" s="115" t="n"/>
      <c r="J6" s="15" t="n"/>
      <c r="K6" s="122">
        <f>COUNTA($C$10:$C$39)</f>
        <v/>
      </c>
      <c r="L6" s="119" t="n"/>
      <c r="M6" s="119" t="n"/>
      <c r="N6" s="120" t="n"/>
      <c r="O6" s="123">
        <f>COUNTIF($E$10:$E$39,"Complete")</f>
        <v/>
      </c>
      <c r="P6" s="119" t="n"/>
      <c r="Q6" s="119" t="n"/>
      <c r="R6" s="120" t="n"/>
      <c r="S6" s="124">
        <f>COUNTIF($E$10:$E$39,"In Progress")</f>
        <v/>
      </c>
      <c r="T6" s="119" t="n"/>
      <c r="U6" s="119" t="n"/>
      <c r="V6" s="120" t="n"/>
      <c r="W6" s="125">
        <f>COUNTIF($E$10:$E$39,"At Risk")</f>
        <v/>
      </c>
      <c r="X6" s="119" t="n"/>
      <c r="Y6" s="119" t="n"/>
      <c r="Z6" s="120" t="n"/>
      <c r="AA6" s="125">
        <f>COUNTIF($F$10:$F$39,"P0")</f>
        <v/>
      </c>
      <c r="AB6" s="119" t="n"/>
      <c r="AC6" s="119" t="n"/>
      <c r="AD6" s="120" t="n"/>
    </row>
    <row r="7">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row>
    <row r="8" ht="22" customHeight="1">
      <c r="B8" s="21" t="inlineStr">
        <is>
          <t>CÔNG VIỆC HỌC KỲ ĐẦU</t>
        </is>
      </c>
      <c r="J8" s="15" t="n"/>
      <c r="K8" s="21" t="inlineStr">
        <is>
          <t>GANTT 20 TUẦN: 16 TUẦN KẾ HOẠCH VÀ 4 TUẦN TRỐNG</t>
        </is>
      </c>
    </row>
    <row r="9" ht="28" customHeight="1">
      <c r="B9" s="1" t="inlineStr">
        <is>
          <t>Nhóm việc</t>
        </is>
      </c>
      <c r="C9" s="1" t="inlineStr">
        <is>
          <t>Công việc</t>
        </is>
      </c>
      <c r="D9" s="1" t="inlineStr">
        <is>
          <t>Người làm</t>
        </is>
      </c>
      <c r="E9" s="1" t="inlineStr">
        <is>
          <t>Trạng thái</t>
        </is>
      </c>
      <c r="F9" s="1" t="inlineStr">
        <is>
          <t>Ưu tiên</t>
        </is>
      </c>
      <c r="G9" s="1" t="inlineStr">
        <is>
          <t>Bắt đầu</t>
        </is>
      </c>
      <c r="H9" s="1" t="inlineStr">
        <is>
          <t>Kết thúc</t>
        </is>
      </c>
      <c r="I9" s="1" t="inlineStr">
        <is>
          <t>Số ngày</t>
        </is>
      </c>
      <c r="J9" s="15" t="n"/>
      <c r="K9" s="126">
        <f>$H$6</f>
        <v/>
      </c>
      <c r="L9" s="126">
        <f>K9+7</f>
        <v/>
      </c>
      <c r="M9" s="126">
        <f>L9+7</f>
        <v/>
      </c>
      <c r="N9" s="126">
        <f>M9+7</f>
        <v/>
      </c>
      <c r="O9" s="126">
        <f>N9+7</f>
        <v/>
      </c>
      <c r="P9" s="126">
        <f>O9+7</f>
        <v/>
      </c>
      <c r="Q9" s="126">
        <f>P9+7</f>
        <v/>
      </c>
      <c r="R9" s="126">
        <f>Q9+7</f>
        <v/>
      </c>
      <c r="S9" s="126">
        <f>R9+7</f>
        <v/>
      </c>
      <c r="T9" s="126">
        <f>S9+7</f>
        <v/>
      </c>
      <c r="U9" s="126">
        <f>T9+7</f>
        <v/>
      </c>
      <c r="V9" s="126">
        <f>U9+7</f>
        <v/>
      </c>
      <c r="W9" s="126">
        <f>V9+7</f>
        <v/>
      </c>
      <c r="X9" s="126">
        <f>W9+7</f>
        <v/>
      </c>
      <c r="Y9" s="126">
        <f>X9+7</f>
        <v/>
      </c>
      <c r="Z9" s="126">
        <f>Y9+7</f>
        <v/>
      </c>
      <c r="AA9" s="126">
        <f>Z9+7</f>
        <v/>
      </c>
      <c r="AB9" s="126">
        <f>AA9+7</f>
        <v/>
      </c>
      <c r="AC9" s="126">
        <f>AB9+7</f>
        <v/>
      </c>
      <c r="AD9" s="126">
        <f>AC9+7</f>
        <v/>
      </c>
    </row>
    <row r="10" ht="23" customHeight="1">
      <c r="B10" s="5" t="inlineStr">
        <is>
          <t>CA 1A</t>
        </is>
      </c>
      <c r="C10" s="49" t="inlineStr">
        <is>
          <t>C01 Biểu diễn số và C cơ bản</t>
        </is>
      </c>
      <c r="D10" s="7" t="inlineStr">
        <is>
          <t>Nguyễn Hải Minh</t>
        </is>
      </c>
      <c r="E10" s="7" t="inlineStr">
        <is>
          <t>Not Started</t>
        </is>
      </c>
      <c r="F10" s="7" t="inlineStr">
        <is>
          <t>P0</t>
        </is>
      </c>
      <c r="G10" s="127">
        <f>IF(OR($H$6="",'Chi tiet HK1'!E8="",'Chi tiet HK1'!F8="",'Chi tiet HK1'!F8&lt;'Chi tiet HK1'!E8),"",IF('Chi tiet HK1'!D8="Mốc",$H$6+'Chi tiet HK1'!F8*7-1,$H$6+('Chi tiet HK1'!E8-1)*7))</f>
        <v/>
      </c>
      <c r="H10" s="127">
        <f>IF(OR($H$6="",'Chi tiet HK1'!E8="",'Chi tiet HK1'!F8="",'Chi tiet HK1'!F8&lt;'Chi tiet HK1'!E8),"",$H$6+'Chi tiet HK1'!F8*7-1)</f>
        <v/>
      </c>
      <c r="I10" s="128">
        <f>IF(OR(G10="",H10="",H10&lt;G10),"",H10-G10+1)</f>
        <v/>
      </c>
      <c r="J10" s="15" t="n"/>
      <c r="K10" s="129">
        <f>IF(OR($G10="",$H10="",$H10&lt;$G10),"",IF(AND(K$9&lt;=$H10,K$9+6&gt;=$G10),1,""))</f>
        <v/>
      </c>
      <c r="L10" s="130">
        <f>IF(OR($G10="",$H10="",$H10&lt;$G10),"",IF(AND(L$9&lt;=$H10,L$9+6&gt;=$G10),1,""))</f>
        <v/>
      </c>
      <c r="M10" s="129">
        <f>IF(OR($G10="",$H10="",$H10&lt;$G10),"",IF(AND(M$9&lt;=$H10,M$9+6&gt;=$G10),1,""))</f>
        <v/>
      </c>
      <c r="N10" s="130">
        <f>IF(OR($G10="",$H10="",$H10&lt;$G10),"",IF(AND(N$9&lt;=$H10,N$9+6&gt;=$G10),1,""))</f>
        <v/>
      </c>
      <c r="O10" s="129">
        <f>IF(OR($G10="",$H10="",$H10&lt;$G10),"",IF(AND(O$9&lt;=$H10,O$9+6&gt;=$G10),1,""))</f>
        <v/>
      </c>
      <c r="P10" s="130">
        <f>IF(OR($G10="",$H10="",$H10&lt;$G10),"",IF(AND(P$9&lt;=$H10,P$9+6&gt;=$G10),1,""))</f>
        <v/>
      </c>
      <c r="Q10" s="129">
        <f>IF(OR($G10="",$H10="",$H10&lt;$G10),"",IF(AND(Q$9&lt;=$H10,Q$9+6&gt;=$G10),1,""))</f>
        <v/>
      </c>
      <c r="R10" s="130">
        <f>IF(OR($G10="",$H10="",$H10&lt;$G10),"",IF(AND(R$9&lt;=$H10,R$9+6&gt;=$G10),1,""))</f>
        <v/>
      </c>
      <c r="S10" s="129">
        <f>IF(OR($G10="",$H10="",$H10&lt;$G10),"",IF(AND(S$9&lt;=$H10,S$9+6&gt;=$G10),1,""))</f>
        <v/>
      </c>
      <c r="T10" s="130">
        <f>IF(OR($G10="",$H10="",$H10&lt;$G10),"",IF(AND(T$9&lt;=$H10,T$9+6&gt;=$G10),1,""))</f>
        <v/>
      </c>
      <c r="U10" s="129">
        <f>IF(OR($G10="",$H10="",$H10&lt;$G10),"",IF(AND(U$9&lt;=$H10,U$9+6&gt;=$G10),1,""))</f>
        <v/>
      </c>
      <c r="V10" s="130">
        <f>IF(OR($G10="",$H10="",$H10&lt;$G10),"",IF(AND(V$9&lt;=$H10,V$9+6&gt;=$G10),1,""))</f>
        <v/>
      </c>
      <c r="W10" s="129">
        <f>IF(OR($G10="",$H10="",$H10&lt;$G10),"",IF(AND(W$9&lt;=$H10,W$9+6&gt;=$G10),1,""))</f>
        <v/>
      </c>
      <c r="X10" s="130">
        <f>IF(OR($G10="",$H10="",$H10&lt;$G10),"",IF(AND(X$9&lt;=$H10,X$9+6&gt;=$G10),1,""))</f>
        <v/>
      </c>
      <c r="Y10" s="129">
        <f>IF(OR($G10="",$H10="",$H10&lt;$G10),"",IF(AND(Y$9&lt;=$H10,Y$9+6&gt;=$G10),1,""))</f>
        <v/>
      </c>
      <c r="Z10" s="130">
        <f>IF(OR($G10="",$H10="",$H10&lt;$G10),"",IF(AND(Z$9&lt;=$H10,Z$9+6&gt;=$G10),1,""))</f>
        <v/>
      </c>
      <c r="AA10" s="129">
        <f>IF(OR($G10="",$H10="",$H10&lt;$G10),"",IF(AND(AA$9&lt;=$H10,AA$9+6&gt;=$G10),1,""))</f>
        <v/>
      </c>
      <c r="AB10" s="130">
        <f>IF(OR($G10="",$H10="",$H10&lt;$G10),"",IF(AND(AB$9&lt;=$H10,AB$9+6&gt;=$G10),1,""))</f>
        <v/>
      </c>
      <c r="AC10" s="129">
        <f>IF(OR($G10="",$H10="",$H10&lt;$G10),"",IF(AND(AC$9&lt;=$H10,AC$9+6&gt;=$G10),1,""))</f>
        <v/>
      </c>
      <c r="AD10" s="130">
        <f>IF(OR($G10="",$H10="",$H10&lt;$G10),"",IF(AND(AD$9&lt;=$H10,AD$9+6&gt;=$G10),1,""))</f>
        <v/>
      </c>
    </row>
    <row r="11" ht="23" customHeight="1">
      <c r="B11" s="6" t="inlineStr">
        <is>
          <t>CA 1A</t>
        </is>
      </c>
      <c r="C11" s="50" t="inlineStr">
        <is>
          <t>C02 Logic số và RTL căn bản</t>
        </is>
      </c>
      <c r="D11" s="8" t="inlineStr">
        <is>
          <t>Nguyễn Hải Minh</t>
        </is>
      </c>
      <c r="E11" s="8" t="inlineStr">
        <is>
          <t>Not Started</t>
        </is>
      </c>
      <c r="F11" s="8" t="inlineStr">
        <is>
          <t>P0</t>
        </is>
      </c>
      <c r="G11" s="131">
        <f>IF(OR($H$6="",'Chi tiet HK1'!E9="",'Chi tiet HK1'!F9="",'Chi tiet HK1'!F9&lt;'Chi tiet HK1'!E9),"",IF('Chi tiet HK1'!D9="Mốc",$H$6+'Chi tiet HK1'!F9*7-1,$H$6+('Chi tiet HK1'!E9-1)*7))</f>
        <v/>
      </c>
      <c r="H11" s="131">
        <f>IF(OR($H$6="",'Chi tiet HK1'!E9="",'Chi tiet HK1'!F9="",'Chi tiet HK1'!F9&lt;'Chi tiet HK1'!E9),"",$H$6+'Chi tiet HK1'!F9*7-1)</f>
        <v/>
      </c>
      <c r="I11" s="128">
        <f>IF(OR(G11="",H11="",H11&lt;G11),"",H11-G11+1)</f>
        <v/>
      </c>
      <c r="J11" s="15" t="n"/>
      <c r="K11" s="129">
        <f>IF(OR($G11="",$H11="",$H11&lt;$G11),"",IF(AND(K$9&lt;=$H11,K$9+6&gt;=$G11),1,""))</f>
        <v/>
      </c>
      <c r="L11" s="130">
        <f>IF(OR($G11="",$H11="",$H11&lt;$G11),"",IF(AND(L$9&lt;=$H11,L$9+6&gt;=$G11),1,""))</f>
        <v/>
      </c>
      <c r="M11" s="129">
        <f>IF(OR($G11="",$H11="",$H11&lt;$G11),"",IF(AND(M$9&lt;=$H11,M$9+6&gt;=$G11),1,""))</f>
        <v/>
      </c>
      <c r="N11" s="130">
        <f>IF(OR($G11="",$H11="",$H11&lt;$G11),"",IF(AND(N$9&lt;=$H11,N$9+6&gt;=$G11),1,""))</f>
        <v/>
      </c>
      <c r="O11" s="129">
        <f>IF(OR($G11="",$H11="",$H11&lt;$G11),"",IF(AND(O$9&lt;=$H11,O$9+6&gt;=$G11),1,""))</f>
        <v/>
      </c>
      <c r="P11" s="130">
        <f>IF(OR($G11="",$H11="",$H11&lt;$G11),"",IF(AND(P$9&lt;=$H11,P$9+6&gt;=$G11),1,""))</f>
        <v/>
      </c>
      <c r="Q11" s="129">
        <f>IF(OR($G11="",$H11="",$H11&lt;$G11),"",IF(AND(Q$9&lt;=$H11,Q$9+6&gt;=$G11),1,""))</f>
        <v/>
      </c>
      <c r="R11" s="130">
        <f>IF(OR($G11="",$H11="",$H11&lt;$G11),"",IF(AND(R$9&lt;=$H11,R$9+6&gt;=$G11),1,""))</f>
        <v/>
      </c>
      <c r="S11" s="129">
        <f>IF(OR($G11="",$H11="",$H11&lt;$G11),"",IF(AND(S$9&lt;=$H11,S$9+6&gt;=$G11),1,""))</f>
        <v/>
      </c>
      <c r="T11" s="130">
        <f>IF(OR($G11="",$H11="",$H11&lt;$G11),"",IF(AND(T$9&lt;=$H11,T$9+6&gt;=$G11),1,""))</f>
        <v/>
      </c>
      <c r="U11" s="129">
        <f>IF(OR($G11="",$H11="",$H11&lt;$G11),"",IF(AND(U$9&lt;=$H11,U$9+6&gt;=$G11),1,""))</f>
        <v/>
      </c>
      <c r="V11" s="130">
        <f>IF(OR($G11="",$H11="",$H11&lt;$G11),"",IF(AND(V$9&lt;=$H11,V$9+6&gt;=$G11),1,""))</f>
        <v/>
      </c>
      <c r="W11" s="129">
        <f>IF(OR($G11="",$H11="",$H11&lt;$G11),"",IF(AND(W$9&lt;=$H11,W$9+6&gt;=$G11),1,""))</f>
        <v/>
      </c>
      <c r="X11" s="130">
        <f>IF(OR($G11="",$H11="",$H11&lt;$G11),"",IF(AND(X$9&lt;=$H11,X$9+6&gt;=$G11),1,""))</f>
        <v/>
      </c>
      <c r="Y11" s="129">
        <f>IF(OR($G11="",$H11="",$H11&lt;$G11),"",IF(AND(Y$9&lt;=$H11,Y$9+6&gt;=$G11),1,""))</f>
        <v/>
      </c>
      <c r="Z11" s="130">
        <f>IF(OR($G11="",$H11="",$H11&lt;$G11),"",IF(AND(Z$9&lt;=$H11,Z$9+6&gt;=$G11),1,""))</f>
        <v/>
      </c>
      <c r="AA11" s="129">
        <f>IF(OR($G11="",$H11="",$H11&lt;$G11),"",IF(AND(AA$9&lt;=$H11,AA$9+6&gt;=$G11),1,""))</f>
        <v/>
      </c>
      <c r="AB11" s="130">
        <f>IF(OR($G11="",$H11="",$H11&lt;$G11),"",IF(AND(AB$9&lt;=$H11,AB$9+6&gt;=$G11),1,""))</f>
        <v/>
      </c>
      <c r="AC11" s="129">
        <f>IF(OR($G11="",$H11="",$H11&lt;$G11),"",IF(AND(AC$9&lt;=$H11,AC$9+6&gt;=$G11),1,""))</f>
        <v/>
      </c>
      <c r="AD11" s="130">
        <f>IF(OR($G11="",$H11="",$H11&lt;$G11),"",IF(AND(AD$9&lt;=$H11,AD$9+6&gt;=$G11),1,""))</f>
        <v/>
      </c>
    </row>
    <row r="12" ht="23" customHeight="1">
      <c r="B12" s="5" t="inlineStr">
        <is>
          <t>CA 1A</t>
        </is>
      </c>
      <c r="C12" s="49" t="inlineStr">
        <is>
          <t>C03 RV32I và assembly</t>
        </is>
      </c>
      <c r="D12" s="7" t="inlineStr">
        <is>
          <t>Nguyễn Hải Minh</t>
        </is>
      </c>
      <c r="E12" s="7" t="inlineStr">
        <is>
          <t>Not Started</t>
        </is>
      </c>
      <c r="F12" s="7" t="inlineStr">
        <is>
          <t>P0</t>
        </is>
      </c>
      <c r="G12" s="127">
        <f>IF(OR($H$6="",'Chi tiet HK1'!E10="",'Chi tiet HK1'!F10="",'Chi tiet HK1'!F10&lt;'Chi tiet HK1'!E10),"",IF('Chi tiet HK1'!D10="Mốc",$H$6+'Chi tiet HK1'!F10*7-1,$H$6+('Chi tiet HK1'!E10-1)*7))</f>
        <v/>
      </c>
      <c r="H12" s="127">
        <f>IF(OR($H$6="",'Chi tiet HK1'!E10="",'Chi tiet HK1'!F10="",'Chi tiet HK1'!F10&lt;'Chi tiet HK1'!E10),"",$H$6+'Chi tiet HK1'!F10*7-1)</f>
        <v/>
      </c>
      <c r="I12" s="128">
        <f>IF(OR(G12="",H12="",H12&lt;G12),"",H12-G12+1)</f>
        <v/>
      </c>
      <c r="J12" s="15" t="n"/>
      <c r="K12" s="129">
        <f>IF(OR($G12="",$H12="",$H12&lt;$G12),"",IF(AND(K$9&lt;=$H12,K$9+6&gt;=$G12),1,""))</f>
        <v/>
      </c>
      <c r="L12" s="130">
        <f>IF(OR($G12="",$H12="",$H12&lt;$G12),"",IF(AND(L$9&lt;=$H12,L$9+6&gt;=$G12),1,""))</f>
        <v/>
      </c>
      <c r="M12" s="129">
        <f>IF(OR($G12="",$H12="",$H12&lt;$G12),"",IF(AND(M$9&lt;=$H12,M$9+6&gt;=$G12),1,""))</f>
        <v/>
      </c>
      <c r="N12" s="130">
        <f>IF(OR($G12="",$H12="",$H12&lt;$G12),"",IF(AND(N$9&lt;=$H12,N$9+6&gt;=$G12),1,""))</f>
        <v/>
      </c>
      <c r="O12" s="129">
        <f>IF(OR($G12="",$H12="",$H12&lt;$G12),"",IF(AND(O$9&lt;=$H12,O$9+6&gt;=$G12),1,""))</f>
        <v/>
      </c>
      <c r="P12" s="130">
        <f>IF(OR($G12="",$H12="",$H12&lt;$G12),"",IF(AND(P$9&lt;=$H12,P$9+6&gt;=$G12),1,""))</f>
        <v/>
      </c>
      <c r="Q12" s="129">
        <f>IF(OR($G12="",$H12="",$H12&lt;$G12),"",IF(AND(Q$9&lt;=$H12,Q$9+6&gt;=$G12),1,""))</f>
        <v/>
      </c>
      <c r="R12" s="130">
        <f>IF(OR($G12="",$H12="",$H12&lt;$G12),"",IF(AND(R$9&lt;=$H12,R$9+6&gt;=$G12),1,""))</f>
        <v/>
      </c>
      <c r="S12" s="129">
        <f>IF(OR($G12="",$H12="",$H12&lt;$G12),"",IF(AND(S$9&lt;=$H12,S$9+6&gt;=$G12),1,""))</f>
        <v/>
      </c>
      <c r="T12" s="130">
        <f>IF(OR($G12="",$H12="",$H12&lt;$G12),"",IF(AND(T$9&lt;=$H12,T$9+6&gt;=$G12),1,""))</f>
        <v/>
      </c>
      <c r="U12" s="129">
        <f>IF(OR($G12="",$H12="",$H12&lt;$G12),"",IF(AND(U$9&lt;=$H12,U$9+6&gt;=$G12),1,""))</f>
        <v/>
      </c>
      <c r="V12" s="130">
        <f>IF(OR($G12="",$H12="",$H12&lt;$G12),"",IF(AND(V$9&lt;=$H12,V$9+6&gt;=$G12),1,""))</f>
        <v/>
      </c>
      <c r="W12" s="129">
        <f>IF(OR($G12="",$H12="",$H12&lt;$G12),"",IF(AND(W$9&lt;=$H12,W$9+6&gt;=$G12),1,""))</f>
        <v/>
      </c>
      <c r="X12" s="130">
        <f>IF(OR($G12="",$H12="",$H12&lt;$G12),"",IF(AND(X$9&lt;=$H12,X$9+6&gt;=$G12),1,""))</f>
        <v/>
      </c>
      <c r="Y12" s="129">
        <f>IF(OR($G12="",$H12="",$H12&lt;$G12),"",IF(AND(Y$9&lt;=$H12,Y$9+6&gt;=$G12),1,""))</f>
        <v/>
      </c>
      <c r="Z12" s="130">
        <f>IF(OR($G12="",$H12="",$H12&lt;$G12),"",IF(AND(Z$9&lt;=$H12,Z$9+6&gt;=$G12),1,""))</f>
        <v/>
      </c>
      <c r="AA12" s="129">
        <f>IF(OR($G12="",$H12="",$H12&lt;$G12),"",IF(AND(AA$9&lt;=$H12,AA$9+6&gt;=$G12),1,""))</f>
        <v/>
      </c>
      <c r="AB12" s="130">
        <f>IF(OR($G12="",$H12="",$H12&lt;$G12),"",IF(AND(AB$9&lt;=$H12,AB$9+6&gt;=$G12),1,""))</f>
        <v/>
      </c>
      <c r="AC12" s="129">
        <f>IF(OR($G12="",$H12="",$H12&lt;$G12),"",IF(AND(AC$9&lt;=$H12,AC$9+6&gt;=$G12),1,""))</f>
        <v/>
      </c>
      <c r="AD12" s="130">
        <f>IF(OR($G12="",$H12="",$H12&lt;$G12),"",IF(AND(AD$9&lt;=$H12,AD$9+6&gt;=$G12),1,""))</f>
        <v/>
      </c>
    </row>
    <row r="13" ht="23" customHeight="1">
      <c r="B13" s="6" t="inlineStr">
        <is>
          <t>CA 1A</t>
        </is>
      </c>
      <c r="C13" s="50" t="inlineStr">
        <is>
          <t>C04 ABI và luồng biên dịch</t>
        </is>
      </c>
      <c r="D13" s="8" t="inlineStr">
        <is>
          <t>Nguyễn Hải Minh</t>
        </is>
      </c>
      <c r="E13" s="8" t="inlineStr">
        <is>
          <t>Not Started</t>
        </is>
      </c>
      <c r="F13" s="8" t="inlineStr">
        <is>
          <t>P0</t>
        </is>
      </c>
      <c r="G13" s="131">
        <f>IF(OR($H$6="",'Chi tiet HK1'!E11="",'Chi tiet HK1'!F11="",'Chi tiet HK1'!F11&lt;'Chi tiet HK1'!E11),"",IF('Chi tiet HK1'!D11="Mốc",$H$6+'Chi tiet HK1'!F11*7-1,$H$6+('Chi tiet HK1'!E11-1)*7))</f>
        <v/>
      </c>
      <c r="H13" s="131">
        <f>IF(OR($H$6="",'Chi tiet HK1'!E11="",'Chi tiet HK1'!F11="",'Chi tiet HK1'!F11&lt;'Chi tiet HK1'!E11),"",$H$6+'Chi tiet HK1'!F11*7-1)</f>
        <v/>
      </c>
      <c r="I13" s="128">
        <f>IF(OR(G13="",H13="",H13&lt;G13),"",H13-G13+1)</f>
        <v/>
      </c>
      <c r="J13" s="15" t="n"/>
      <c r="K13" s="129">
        <f>IF(OR($G13="",$H13="",$H13&lt;$G13),"",IF(AND(K$9&lt;=$H13,K$9+6&gt;=$G13),1,""))</f>
        <v/>
      </c>
      <c r="L13" s="130">
        <f>IF(OR($G13="",$H13="",$H13&lt;$G13),"",IF(AND(L$9&lt;=$H13,L$9+6&gt;=$G13),1,""))</f>
        <v/>
      </c>
      <c r="M13" s="129">
        <f>IF(OR($G13="",$H13="",$H13&lt;$G13),"",IF(AND(M$9&lt;=$H13,M$9+6&gt;=$G13),1,""))</f>
        <v/>
      </c>
      <c r="N13" s="130">
        <f>IF(OR($G13="",$H13="",$H13&lt;$G13),"",IF(AND(N$9&lt;=$H13,N$9+6&gt;=$G13),1,""))</f>
        <v/>
      </c>
      <c r="O13" s="129">
        <f>IF(OR($G13="",$H13="",$H13&lt;$G13),"",IF(AND(O$9&lt;=$H13,O$9+6&gt;=$G13),1,""))</f>
        <v/>
      </c>
      <c r="P13" s="130">
        <f>IF(OR($G13="",$H13="",$H13&lt;$G13),"",IF(AND(P$9&lt;=$H13,P$9+6&gt;=$G13),1,""))</f>
        <v/>
      </c>
      <c r="Q13" s="129">
        <f>IF(OR($G13="",$H13="",$H13&lt;$G13),"",IF(AND(Q$9&lt;=$H13,Q$9+6&gt;=$G13),1,""))</f>
        <v/>
      </c>
      <c r="R13" s="130">
        <f>IF(OR($G13="",$H13="",$H13&lt;$G13),"",IF(AND(R$9&lt;=$H13,R$9+6&gt;=$G13),1,""))</f>
        <v/>
      </c>
      <c r="S13" s="129">
        <f>IF(OR($G13="",$H13="",$H13&lt;$G13),"",IF(AND(S$9&lt;=$H13,S$9+6&gt;=$G13),1,""))</f>
        <v/>
      </c>
      <c r="T13" s="130">
        <f>IF(OR($G13="",$H13="",$H13&lt;$G13),"",IF(AND(T$9&lt;=$H13,T$9+6&gt;=$G13),1,""))</f>
        <v/>
      </c>
      <c r="U13" s="129">
        <f>IF(OR($G13="",$H13="",$H13&lt;$G13),"",IF(AND(U$9&lt;=$H13,U$9+6&gt;=$G13),1,""))</f>
        <v/>
      </c>
      <c r="V13" s="130">
        <f>IF(OR($G13="",$H13="",$H13&lt;$G13),"",IF(AND(V$9&lt;=$H13,V$9+6&gt;=$G13),1,""))</f>
        <v/>
      </c>
      <c r="W13" s="129">
        <f>IF(OR($G13="",$H13="",$H13&lt;$G13),"",IF(AND(W$9&lt;=$H13,W$9+6&gt;=$G13),1,""))</f>
        <v/>
      </c>
      <c r="X13" s="130">
        <f>IF(OR($G13="",$H13="",$H13&lt;$G13),"",IF(AND(X$9&lt;=$H13,X$9+6&gt;=$G13),1,""))</f>
        <v/>
      </c>
      <c r="Y13" s="129">
        <f>IF(OR($G13="",$H13="",$H13&lt;$G13),"",IF(AND(Y$9&lt;=$H13,Y$9+6&gt;=$G13),1,""))</f>
        <v/>
      </c>
      <c r="Z13" s="130">
        <f>IF(OR($G13="",$H13="",$H13&lt;$G13),"",IF(AND(Z$9&lt;=$H13,Z$9+6&gt;=$G13),1,""))</f>
        <v/>
      </c>
      <c r="AA13" s="129">
        <f>IF(OR($G13="",$H13="",$H13&lt;$G13),"",IF(AND(AA$9&lt;=$H13,AA$9+6&gt;=$G13),1,""))</f>
        <v/>
      </c>
      <c r="AB13" s="130">
        <f>IF(OR($G13="",$H13="",$H13&lt;$G13),"",IF(AND(AB$9&lt;=$H13,AB$9+6&gt;=$G13),1,""))</f>
        <v/>
      </c>
      <c r="AC13" s="129">
        <f>IF(OR($G13="",$H13="",$H13&lt;$G13),"",IF(AND(AC$9&lt;=$H13,AC$9+6&gt;=$G13),1,""))</f>
        <v/>
      </c>
      <c r="AD13" s="130">
        <f>IF(OR($G13="",$H13="",$H13&lt;$G13),"",IF(AND(AD$9&lt;=$H13,AD$9+6&gt;=$G13),1,""))</f>
        <v/>
      </c>
    </row>
    <row r="14" ht="23" customHeight="1">
      <c r="B14" s="5" t="inlineStr">
        <is>
          <t>CA 1A</t>
        </is>
      </c>
      <c r="C14" s="49" t="inlineStr">
        <is>
          <t>C05 Datapath và control</t>
        </is>
      </c>
      <c r="D14" s="7" t="inlineStr">
        <is>
          <t>Nguyễn Hải Minh</t>
        </is>
      </c>
      <c r="E14" s="7" t="inlineStr">
        <is>
          <t>Not Started</t>
        </is>
      </c>
      <c r="F14" s="7" t="inlineStr">
        <is>
          <t>P0</t>
        </is>
      </c>
      <c r="G14" s="127">
        <f>IF(OR($H$6="",'Chi tiet HK1'!E12="",'Chi tiet HK1'!F12="",'Chi tiet HK1'!F12&lt;'Chi tiet HK1'!E12),"",IF('Chi tiet HK1'!D12="Mốc",$H$6+'Chi tiet HK1'!F12*7-1,$H$6+('Chi tiet HK1'!E12-1)*7))</f>
        <v/>
      </c>
      <c r="H14" s="127">
        <f>IF(OR($H$6="",'Chi tiet HK1'!E12="",'Chi tiet HK1'!F12="",'Chi tiet HK1'!F12&lt;'Chi tiet HK1'!E12),"",$H$6+'Chi tiet HK1'!F12*7-1)</f>
        <v/>
      </c>
      <c r="I14" s="128">
        <f>IF(OR(G14="",H14="",H14&lt;G14),"",H14-G14+1)</f>
        <v/>
      </c>
      <c r="J14" s="15" t="n"/>
      <c r="K14" s="129">
        <f>IF(OR($G14="",$H14="",$H14&lt;$G14),"",IF(AND(K$9&lt;=$H14,K$9+6&gt;=$G14),1,""))</f>
        <v/>
      </c>
      <c r="L14" s="130">
        <f>IF(OR($G14="",$H14="",$H14&lt;$G14),"",IF(AND(L$9&lt;=$H14,L$9+6&gt;=$G14),1,""))</f>
        <v/>
      </c>
      <c r="M14" s="129">
        <f>IF(OR($G14="",$H14="",$H14&lt;$G14),"",IF(AND(M$9&lt;=$H14,M$9+6&gt;=$G14),1,""))</f>
        <v/>
      </c>
      <c r="N14" s="130">
        <f>IF(OR($G14="",$H14="",$H14&lt;$G14),"",IF(AND(N$9&lt;=$H14,N$9+6&gt;=$G14),1,""))</f>
        <v/>
      </c>
      <c r="O14" s="129">
        <f>IF(OR($G14="",$H14="",$H14&lt;$G14),"",IF(AND(O$9&lt;=$H14,O$9+6&gt;=$G14),1,""))</f>
        <v/>
      </c>
      <c r="P14" s="130">
        <f>IF(OR($G14="",$H14="",$H14&lt;$G14),"",IF(AND(P$9&lt;=$H14,P$9+6&gt;=$G14),1,""))</f>
        <v/>
      </c>
      <c r="Q14" s="129">
        <f>IF(OR($G14="",$H14="",$H14&lt;$G14),"",IF(AND(Q$9&lt;=$H14,Q$9+6&gt;=$G14),1,""))</f>
        <v/>
      </c>
      <c r="R14" s="130">
        <f>IF(OR($G14="",$H14="",$H14&lt;$G14),"",IF(AND(R$9&lt;=$H14,R$9+6&gt;=$G14),1,""))</f>
        <v/>
      </c>
      <c r="S14" s="129">
        <f>IF(OR($G14="",$H14="",$H14&lt;$G14),"",IF(AND(S$9&lt;=$H14,S$9+6&gt;=$G14),1,""))</f>
        <v/>
      </c>
      <c r="T14" s="130">
        <f>IF(OR($G14="",$H14="",$H14&lt;$G14),"",IF(AND(T$9&lt;=$H14,T$9+6&gt;=$G14),1,""))</f>
        <v/>
      </c>
      <c r="U14" s="129">
        <f>IF(OR($G14="",$H14="",$H14&lt;$G14),"",IF(AND(U$9&lt;=$H14,U$9+6&gt;=$G14),1,""))</f>
        <v/>
      </c>
      <c r="V14" s="130">
        <f>IF(OR($G14="",$H14="",$H14&lt;$G14),"",IF(AND(V$9&lt;=$H14,V$9+6&gt;=$G14),1,""))</f>
        <v/>
      </c>
      <c r="W14" s="129">
        <f>IF(OR($G14="",$H14="",$H14&lt;$G14),"",IF(AND(W$9&lt;=$H14,W$9+6&gt;=$G14),1,""))</f>
        <v/>
      </c>
      <c r="X14" s="130">
        <f>IF(OR($G14="",$H14="",$H14&lt;$G14),"",IF(AND(X$9&lt;=$H14,X$9+6&gt;=$G14),1,""))</f>
        <v/>
      </c>
      <c r="Y14" s="129">
        <f>IF(OR($G14="",$H14="",$H14&lt;$G14),"",IF(AND(Y$9&lt;=$H14,Y$9+6&gt;=$G14),1,""))</f>
        <v/>
      </c>
      <c r="Z14" s="130">
        <f>IF(OR($G14="",$H14="",$H14&lt;$G14),"",IF(AND(Z$9&lt;=$H14,Z$9+6&gt;=$G14),1,""))</f>
        <v/>
      </c>
      <c r="AA14" s="129">
        <f>IF(OR($G14="",$H14="",$H14&lt;$G14),"",IF(AND(AA$9&lt;=$H14,AA$9+6&gt;=$G14),1,""))</f>
        <v/>
      </c>
      <c r="AB14" s="130">
        <f>IF(OR($G14="",$H14="",$H14&lt;$G14),"",IF(AND(AB$9&lt;=$H14,AB$9+6&gt;=$G14),1,""))</f>
        <v/>
      </c>
      <c r="AC14" s="129">
        <f>IF(OR($G14="",$H14="",$H14&lt;$G14),"",IF(AND(AC$9&lt;=$H14,AC$9+6&gt;=$G14),1,""))</f>
        <v/>
      </c>
      <c r="AD14" s="130">
        <f>IF(OR($G14="",$H14="",$H14&lt;$G14),"",IF(AND(AD$9&lt;=$H14,AD$9+6&gt;=$G14),1,""))</f>
        <v/>
      </c>
    </row>
    <row r="15" ht="23" customHeight="1">
      <c r="B15" s="6" t="inlineStr">
        <is>
          <t>CA 1A</t>
        </is>
      </c>
      <c r="C15" s="50" t="inlineStr">
        <is>
          <t>C06 Pipeline, hazards và CPI</t>
        </is>
      </c>
      <c r="D15" s="8" t="inlineStr">
        <is>
          <t>Nguyễn Hải Minh</t>
        </is>
      </c>
      <c r="E15" s="8" t="inlineStr">
        <is>
          <t>Not Started</t>
        </is>
      </c>
      <c r="F15" s="8" t="inlineStr">
        <is>
          <t>P0</t>
        </is>
      </c>
      <c r="G15" s="131">
        <f>IF(OR($H$6="",'Chi tiet HK1'!E13="",'Chi tiet HK1'!F13="",'Chi tiet HK1'!F13&lt;'Chi tiet HK1'!E13),"",IF('Chi tiet HK1'!D13="Mốc",$H$6+'Chi tiet HK1'!F13*7-1,$H$6+('Chi tiet HK1'!E13-1)*7))</f>
        <v/>
      </c>
      <c r="H15" s="131">
        <f>IF(OR($H$6="",'Chi tiet HK1'!E13="",'Chi tiet HK1'!F13="",'Chi tiet HK1'!F13&lt;'Chi tiet HK1'!E13),"",$H$6+'Chi tiet HK1'!F13*7-1)</f>
        <v/>
      </c>
      <c r="I15" s="128">
        <f>IF(OR(G15="",H15="",H15&lt;G15),"",H15-G15+1)</f>
        <v/>
      </c>
      <c r="J15" s="15" t="n"/>
      <c r="K15" s="129">
        <f>IF(OR($G15="",$H15="",$H15&lt;$G15),"",IF(AND(K$9&lt;=$H15,K$9+6&gt;=$G15),1,""))</f>
        <v/>
      </c>
      <c r="L15" s="130">
        <f>IF(OR($G15="",$H15="",$H15&lt;$G15),"",IF(AND(L$9&lt;=$H15,L$9+6&gt;=$G15),1,""))</f>
        <v/>
      </c>
      <c r="M15" s="129">
        <f>IF(OR($G15="",$H15="",$H15&lt;$G15),"",IF(AND(M$9&lt;=$H15,M$9+6&gt;=$G15),1,""))</f>
        <v/>
      </c>
      <c r="N15" s="130">
        <f>IF(OR($G15="",$H15="",$H15&lt;$G15),"",IF(AND(N$9&lt;=$H15,N$9+6&gt;=$G15),1,""))</f>
        <v/>
      </c>
      <c r="O15" s="129">
        <f>IF(OR($G15="",$H15="",$H15&lt;$G15),"",IF(AND(O$9&lt;=$H15,O$9+6&gt;=$G15),1,""))</f>
        <v/>
      </c>
      <c r="P15" s="130">
        <f>IF(OR($G15="",$H15="",$H15&lt;$G15),"",IF(AND(P$9&lt;=$H15,P$9+6&gt;=$G15),1,""))</f>
        <v/>
      </c>
      <c r="Q15" s="129">
        <f>IF(OR($G15="",$H15="",$H15&lt;$G15),"",IF(AND(Q$9&lt;=$H15,Q$9+6&gt;=$G15),1,""))</f>
        <v/>
      </c>
      <c r="R15" s="130">
        <f>IF(OR($G15="",$H15="",$H15&lt;$G15),"",IF(AND(R$9&lt;=$H15,R$9+6&gt;=$G15),1,""))</f>
        <v/>
      </c>
      <c r="S15" s="129">
        <f>IF(OR($G15="",$H15="",$H15&lt;$G15),"",IF(AND(S$9&lt;=$H15,S$9+6&gt;=$G15),1,""))</f>
        <v/>
      </c>
      <c r="T15" s="130">
        <f>IF(OR($G15="",$H15="",$H15&lt;$G15),"",IF(AND(T$9&lt;=$H15,T$9+6&gt;=$G15),1,""))</f>
        <v/>
      </c>
      <c r="U15" s="129">
        <f>IF(OR($G15="",$H15="",$H15&lt;$G15),"",IF(AND(U$9&lt;=$H15,U$9+6&gt;=$G15),1,""))</f>
        <v/>
      </c>
      <c r="V15" s="130">
        <f>IF(OR($G15="",$H15="",$H15&lt;$G15),"",IF(AND(V$9&lt;=$H15,V$9+6&gt;=$G15),1,""))</f>
        <v/>
      </c>
      <c r="W15" s="129">
        <f>IF(OR($G15="",$H15="",$H15&lt;$G15),"",IF(AND(W$9&lt;=$H15,W$9+6&gt;=$G15),1,""))</f>
        <v/>
      </c>
      <c r="X15" s="130">
        <f>IF(OR($G15="",$H15="",$H15&lt;$G15),"",IF(AND(X$9&lt;=$H15,X$9+6&gt;=$G15),1,""))</f>
        <v/>
      </c>
      <c r="Y15" s="129">
        <f>IF(OR($G15="",$H15="",$H15&lt;$G15),"",IF(AND(Y$9&lt;=$H15,Y$9+6&gt;=$G15),1,""))</f>
        <v/>
      </c>
      <c r="Z15" s="130">
        <f>IF(OR($G15="",$H15="",$H15&lt;$G15),"",IF(AND(Z$9&lt;=$H15,Z$9+6&gt;=$G15),1,""))</f>
        <v/>
      </c>
      <c r="AA15" s="129">
        <f>IF(OR($G15="",$H15="",$H15&lt;$G15),"",IF(AND(AA$9&lt;=$H15,AA$9+6&gt;=$G15),1,""))</f>
        <v/>
      </c>
      <c r="AB15" s="130">
        <f>IF(OR($G15="",$H15="",$H15&lt;$G15),"",IF(AND(AB$9&lt;=$H15,AB$9+6&gt;=$G15),1,""))</f>
        <v/>
      </c>
      <c r="AC15" s="129">
        <f>IF(OR($G15="",$H15="",$H15&lt;$G15),"",IF(AND(AC$9&lt;=$H15,AC$9+6&gt;=$G15),1,""))</f>
        <v/>
      </c>
      <c r="AD15" s="130">
        <f>IF(OR($G15="",$H15="",$H15&lt;$G15),"",IF(AND(AD$9&lt;=$H15,AD$9+6&gt;=$G15),1,""))</f>
        <v/>
      </c>
    </row>
    <row r="16" ht="23" customHeight="1">
      <c r="B16" s="5" t="inlineStr">
        <is>
          <t>CA 1B</t>
        </is>
      </c>
      <c r="C16" s="49" t="inlineStr">
        <is>
          <t>C07 Memory, bus và SoC</t>
        </is>
      </c>
      <c r="D16" s="7" t="inlineStr">
        <is>
          <t>Nguyễn Hải Minh</t>
        </is>
      </c>
      <c r="E16" s="7" t="inlineStr">
        <is>
          <t>Not Started</t>
        </is>
      </c>
      <c r="F16" s="7" t="inlineStr">
        <is>
          <t>P0</t>
        </is>
      </c>
      <c r="G16" s="127">
        <f>IF(OR($H$6="",'Chi tiet HK1'!E14="",'Chi tiet HK1'!F14="",'Chi tiet HK1'!F14&lt;'Chi tiet HK1'!E14),"",IF('Chi tiet HK1'!D14="Mốc",$H$6+'Chi tiet HK1'!F14*7-1,$H$6+('Chi tiet HK1'!E14-1)*7))</f>
        <v/>
      </c>
      <c r="H16" s="127">
        <f>IF(OR($H$6="",'Chi tiet HK1'!E14="",'Chi tiet HK1'!F14="",'Chi tiet HK1'!F14&lt;'Chi tiet HK1'!E14),"",$H$6+'Chi tiet HK1'!F14*7-1)</f>
        <v/>
      </c>
      <c r="I16" s="128">
        <f>IF(OR(G16="",H16="",H16&lt;G16),"",H16-G16+1)</f>
        <v/>
      </c>
      <c r="J16" s="15" t="n"/>
      <c r="K16" s="129">
        <f>IF(OR($G16="",$H16="",$H16&lt;$G16),"",IF(AND(K$9&lt;=$H16,K$9+6&gt;=$G16),1,""))</f>
        <v/>
      </c>
      <c r="L16" s="130">
        <f>IF(OR($G16="",$H16="",$H16&lt;$G16),"",IF(AND(L$9&lt;=$H16,L$9+6&gt;=$G16),1,""))</f>
        <v/>
      </c>
      <c r="M16" s="129">
        <f>IF(OR($G16="",$H16="",$H16&lt;$G16),"",IF(AND(M$9&lt;=$H16,M$9+6&gt;=$G16),1,""))</f>
        <v/>
      </c>
      <c r="N16" s="130">
        <f>IF(OR($G16="",$H16="",$H16&lt;$G16),"",IF(AND(N$9&lt;=$H16,N$9+6&gt;=$G16),1,""))</f>
        <v/>
      </c>
      <c r="O16" s="129">
        <f>IF(OR($G16="",$H16="",$H16&lt;$G16),"",IF(AND(O$9&lt;=$H16,O$9+6&gt;=$G16),1,""))</f>
        <v/>
      </c>
      <c r="P16" s="130">
        <f>IF(OR($G16="",$H16="",$H16&lt;$G16),"",IF(AND(P$9&lt;=$H16,P$9+6&gt;=$G16),1,""))</f>
        <v/>
      </c>
      <c r="Q16" s="129">
        <f>IF(OR($G16="",$H16="",$H16&lt;$G16),"",IF(AND(Q$9&lt;=$H16,Q$9+6&gt;=$G16),1,""))</f>
        <v/>
      </c>
      <c r="R16" s="130">
        <f>IF(OR($G16="",$H16="",$H16&lt;$G16),"",IF(AND(R$9&lt;=$H16,R$9+6&gt;=$G16),1,""))</f>
        <v/>
      </c>
      <c r="S16" s="129">
        <f>IF(OR($G16="",$H16="",$H16&lt;$G16),"",IF(AND(S$9&lt;=$H16,S$9+6&gt;=$G16),1,""))</f>
        <v/>
      </c>
      <c r="T16" s="130">
        <f>IF(OR($G16="",$H16="",$H16&lt;$G16),"",IF(AND(T$9&lt;=$H16,T$9+6&gt;=$G16),1,""))</f>
        <v/>
      </c>
      <c r="U16" s="129">
        <f>IF(OR($G16="",$H16="",$H16&lt;$G16),"",IF(AND(U$9&lt;=$H16,U$9+6&gt;=$G16),1,""))</f>
        <v/>
      </c>
      <c r="V16" s="130">
        <f>IF(OR($G16="",$H16="",$H16&lt;$G16),"",IF(AND(V$9&lt;=$H16,V$9+6&gt;=$G16),1,""))</f>
        <v/>
      </c>
      <c r="W16" s="129">
        <f>IF(OR($G16="",$H16="",$H16&lt;$G16),"",IF(AND(W$9&lt;=$H16,W$9+6&gt;=$G16),1,""))</f>
        <v/>
      </c>
      <c r="X16" s="130">
        <f>IF(OR($G16="",$H16="",$H16&lt;$G16),"",IF(AND(X$9&lt;=$H16,X$9+6&gt;=$G16),1,""))</f>
        <v/>
      </c>
      <c r="Y16" s="129">
        <f>IF(OR($G16="",$H16="",$H16&lt;$G16),"",IF(AND(Y$9&lt;=$H16,Y$9+6&gt;=$G16),1,""))</f>
        <v/>
      </c>
      <c r="Z16" s="130">
        <f>IF(OR($G16="",$H16="",$H16&lt;$G16),"",IF(AND(Z$9&lt;=$H16,Z$9+6&gt;=$G16),1,""))</f>
        <v/>
      </c>
      <c r="AA16" s="129">
        <f>IF(OR($G16="",$H16="",$H16&lt;$G16),"",IF(AND(AA$9&lt;=$H16,AA$9+6&gt;=$G16),1,""))</f>
        <v/>
      </c>
      <c r="AB16" s="130">
        <f>IF(OR($G16="",$H16="",$H16&lt;$G16),"",IF(AND(AB$9&lt;=$H16,AB$9+6&gt;=$G16),1,""))</f>
        <v/>
      </c>
      <c r="AC16" s="129">
        <f>IF(OR($G16="",$H16="",$H16&lt;$G16),"",IF(AND(AC$9&lt;=$H16,AC$9+6&gt;=$G16),1,""))</f>
        <v/>
      </c>
      <c r="AD16" s="130">
        <f>IF(OR($G16="",$H16="",$H16&lt;$G16),"",IF(AND(AD$9&lt;=$H16,AD$9+6&gt;=$G16),1,""))</f>
        <v/>
      </c>
    </row>
    <row r="17" ht="23" customHeight="1">
      <c r="B17" s="6" t="inlineStr">
        <is>
          <t>CA 1B</t>
        </is>
      </c>
      <c r="C17" s="50" t="inlineStr">
        <is>
          <t>C08 Fixed-point và độ rộng số</t>
        </is>
      </c>
      <c r="D17" s="8" t="inlineStr">
        <is>
          <t>Nguyễn Hải Minh</t>
        </is>
      </c>
      <c r="E17" s="8" t="inlineStr">
        <is>
          <t>Not Started</t>
        </is>
      </c>
      <c r="F17" s="8" t="inlineStr">
        <is>
          <t>P0</t>
        </is>
      </c>
      <c r="G17" s="131">
        <f>IF(OR($H$6="",'Chi tiet HK1'!E15="",'Chi tiet HK1'!F15="",'Chi tiet HK1'!F15&lt;'Chi tiet HK1'!E15),"",IF('Chi tiet HK1'!D15="Mốc",$H$6+'Chi tiet HK1'!F15*7-1,$H$6+('Chi tiet HK1'!E15-1)*7))</f>
        <v/>
      </c>
      <c r="H17" s="131">
        <f>IF(OR($H$6="",'Chi tiet HK1'!E15="",'Chi tiet HK1'!F15="",'Chi tiet HK1'!F15&lt;'Chi tiet HK1'!E15),"",$H$6+'Chi tiet HK1'!F15*7-1)</f>
        <v/>
      </c>
      <c r="I17" s="128">
        <f>IF(OR(G17="",H17="",H17&lt;G17),"",H17-G17+1)</f>
        <v/>
      </c>
      <c r="J17" s="15" t="n"/>
      <c r="K17" s="129">
        <f>IF(OR($G17="",$H17="",$H17&lt;$G17),"",IF(AND(K$9&lt;=$H17,K$9+6&gt;=$G17),1,""))</f>
        <v/>
      </c>
      <c r="L17" s="130">
        <f>IF(OR($G17="",$H17="",$H17&lt;$G17),"",IF(AND(L$9&lt;=$H17,L$9+6&gt;=$G17),1,""))</f>
        <v/>
      </c>
      <c r="M17" s="129">
        <f>IF(OR($G17="",$H17="",$H17&lt;$G17),"",IF(AND(M$9&lt;=$H17,M$9+6&gt;=$G17),1,""))</f>
        <v/>
      </c>
      <c r="N17" s="130">
        <f>IF(OR($G17="",$H17="",$H17&lt;$G17),"",IF(AND(N$9&lt;=$H17,N$9+6&gt;=$G17),1,""))</f>
        <v/>
      </c>
      <c r="O17" s="129">
        <f>IF(OR($G17="",$H17="",$H17&lt;$G17),"",IF(AND(O$9&lt;=$H17,O$9+6&gt;=$G17),1,""))</f>
        <v/>
      </c>
      <c r="P17" s="130">
        <f>IF(OR($G17="",$H17="",$H17&lt;$G17),"",IF(AND(P$9&lt;=$H17,P$9+6&gt;=$G17),1,""))</f>
        <v/>
      </c>
      <c r="Q17" s="129">
        <f>IF(OR($G17="",$H17="",$H17&lt;$G17),"",IF(AND(Q$9&lt;=$H17,Q$9+6&gt;=$G17),1,""))</f>
        <v/>
      </c>
      <c r="R17" s="130">
        <f>IF(OR($G17="",$H17="",$H17&lt;$G17),"",IF(AND(R$9&lt;=$H17,R$9+6&gt;=$G17),1,""))</f>
        <v/>
      </c>
      <c r="S17" s="129">
        <f>IF(OR($G17="",$H17="",$H17&lt;$G17),"",IF(AND(S$9&lt;=$H17,S$9+6&gt;=$G17),1,""))</f>
        <v/>
      </c>
      <c r="T17" s="130">
        <f>IF(OR($G17="",$H17="",$H17&lt;$G17),"",IF(AND(T$9&lt;=$H17,T$9+6&gt;=$G17),1,""))</f>
        <v/>
      </c>
      <c r="U17" s="129">
        <f>IF(OR($G17="",$H17="",$H17&lt;$G17),"",IF(AND(U$9&lt;=$H17,U$9+6&gt;=$G17),1,""))</f>
        <v/>
      </c>
      <c r="V17" s="130">
        <f>IF(OR($G17="",$H17="",$H17&lt;$G17),"",IF(AND(V$9&lt;=$H17,V$9+6&gt;=$G17),1,""))</f>
        <v/>
      </c>
      <c r="W17" s="129">
        <f>IF(OR($G17="",$H17="",$H17&lt;$G17),"",IF(AND(W$9&lt;=$H17,W$9+6&gt;=$G17),1,""))</f>
        <v/>
      </c>
      <c r="X17" s="130">
        <f>IF(OR($G17="",$H17="",$H17&lt;$G17),"",IF(AND(X$9&lt;=$H17,X$9+6&gt;=$G17),1,""))</f>
        <v/>
      </c>
      <c r="Y17" s="129">
        <f>IF(OR($G17="",$H17="",$H17&lt;$G17),"",IF(AND(Y$9&lt;=$H17,Y$9+6&gt;=$G17),1,""))</f>
        <v/>
      </c>
      <c r="Z17" s="130">
        <f>IF(OR($G17="",$H17="",$H17&lt;$G17),"",IF(AND(Z$9&lt;=$H17,Z$9+6&gt;=$G17),1,""))</f>
        <v/>
      </c>
      <c r="AA17" s="129">
        <f>IF(OR($G17="",$H17="",$H17&lt;$G17),"",IF(AND(AA$9&lt;=$H17,AA$9+6&gt;=$G17),1,""))</f>
        <v/>
      </c>
      <c r="AB17" s="130">
        <f>IF(OR($G17="",$H17="",$H17&lt;$G17),"",IF(AND(AB$9&lt;=$H17,AB$9+6&gt;=$G17),1,""))</f>
        <v/>
      </c>
      <c r="AC17" s="129">
        <f>IF(OR($G17="",$H17="",$H17&lt;$G17),"",IF(AND(AC$9&lt;=$H17,AC$9+6&gt;=$G17),1,""))</f>
        <v/>
      </c>
      <c r="AD17" s="130">
        <f>IF(OR($G17="",$H17="",$H17&lt;$G17),"",IF(AND(AD$9&lt;=$H17,AD$9+6&gt;=$G17),1,""))</f>
        <v/>
      </c>
    </row>
    <row r="18" ht="23" customHeight="1">
      <c r="B18" s="5" t="inlineStr">
        <is>
          <t>CA 1B</t>
        </is>
      </c>
      <c r="C18" s="49" t="inlineStr">
        <is>
          <t>C09 Đo hiệu năng và timing</t>
        </is>
      </c>
      <c r="D18" s="7" t="inlineStr">
        <is>
          <t>Nguyễn Hải Minh</t>
        </is>
      </c>
      <c r="E18" s="7" t="inlineStr">
        <is>
          <t>Not Started</t>
        </is>
      </c>
      <c r="F18" s="7" t="inlineStr">
        <is>
          <t>P0</t>
        </is>
      </c>
      <c r="G18" s="127">
        <f>IF(OR($H$6="",'Chi tiet HK1'!E16="",'Chi tiet HK1'!F16="",'Chi tiet HK1'!F16&lt;'Chi tiet HK1'!E16),"",IF('Chi tiet HK1'!D16="Mốc",$H$6+'Chi tiet HK1'!F16*7-1,$H$6+('Chi tiet HK1'!E16-1)*7))</f>
        <v/>
      </c>
      <c r="H18" s="127">
        <f>IF(OR($H$6="",'Chi tiet HK1'!E16="",'Chi tiet HK1'!F16="",'Chi tiet HK1'!F16&lt;'Chi tiet HK1'!E16),"",$H$6+'Chi tiet HK1'!F16*7-1)</f>
        <v/>
      </c>
      <c r="I18" s="128">
        <f>IF(OR(G18="",H18="",H18&lt;G18),"",H18-G18+1)</f>
        <v/>
      </c>
      <c r="J18" s="15" t="n"/>
      <c r="K18" s="129">
        <f>IF(OR($G18="",$H18="",$H18&lt;$G18),"",IF(AND(K$9&lt;=$H18,K$9+6&gt;=$G18),1,""))</f>
        <v/>
      </c>
      <c r="L18" s="130">
        <f>IF(OR($G18="",$H18="",$H18&lt;$G18),"",IF(AND(L$9&lt;=$H18,L$9+6&gt;=$G18),1,""))</f>
        <v/>
      </c>
      <c r="M18" s="129">
        <f>IF(OR($G18="",$H18="",$H18&lt;$G18),"",IF(AND(M$9&lt;=$H18,M$9+6&gt;=$G18),1,""))</f>
        <v/>
      </c>
      <c r="N18" s="130">
        <f>IF(OR($G18="",$H18="",$H18&lt;$G18),"",IF(AND(N$9&lt;=$H18,N$9+6&gt;=$G18),1,""))</f>
        <v/>
      </c>
      <c r="O18" s="129">
        <f>IF(OR($G18="",$H18="",$H18&lt;$G18),"",IF(AND(O$9&lt;=$H18,O$9+6&gt;=$G18),1,""))</f>
        <v/>
      </c>
      <c r="P18" s="130">
        <f>IF(OR($G18="",$H18="",$H18&lt;$G18),"",IF(AND(P$9&lt;=$H18,P$9+6&gt;=$G18),1,""))</f>
        <v/>
      </c>
      <c r="Q18" s="129">
        <f>IF(OR($G18="",$H18="",$H18&lt;$G18),"",IF(AND(Q$9&lt;=$H18,Q$9+6&gt;=$G18),1,""))</f>
        <v/>
      </c>
      <c r="R18" s="130">
        <f>IF(OR($G18="",$H18="",$H18&lt;$G18),"",IF(AND(R$9&lt;=$H18,R$9+6&gt;=$G18),1,""))</f>
        <v/>
      </c>
      <c r="S18" s="129">
        <f>IF(OR($G18="",$H18="",$H18&lt;$G18),"",IF(AND(S$9&lt;=$H18,S$9+6&gt;=$G18),1,""))</f>
        <v/>
      </c>
      <c r="T18" s="130">
        <f>IF(OR($G18="",$H18="",$H18&lt;$G18),"",IF(AND(T$9&lt;=$H18,T$9+6&gt;=$G18),1,""))</f>
        <v/>
      </c>
      <c r="U18" s="129">
        <f>IF(OR($G18="",$H18="",$H18&lt;$G18),"",IF(AND(U$9&lt;=$H18,U$9+6&gt;=$G18),1,""))</f>
        <v/>
      </c>
      <c r="V18" s="130">
        <f>IF(OR($G18="",$H18="",$H18&lt;$G18),"",IF(AND(V$9&lt;=$H18,V$9+6&gt;=$G18),1,""))</f>
        <v/>
      </c>
      <c r="W18" s="129">
        <f>IF(OR($G18="",$H18="",$H18&lt;$G18),"",IF(AND(W$9&lt;=$H18,W$9+6&gt;=$G18),1,""))</f>
        <v/>
      </c>
      <c r="X18" s="130">
        <f>IF(OR($G18="",$H18="",$H18&lt;$G18),"",IF(AND(X$9&lt;=$H18,X$9+6&gt;=$G18),1,""))</f>
        <v/>
      </c>
      <c r="Y18" s="129">
        <f>IF(OR($G18="",$H18="",$H18&lt;$G18),"",IF(AND(Y$9&lt;=$H18,Y$9+6&gt;=$G18),1,""))</f>
        <v/>
      </c>
      <c r="Z18" s="130">
        <f>IF(OR($G18="",$H18="",$H18&lt;$G18),"",IF(AND(Z$9&lt;=$H18,Z$9+6&gt;=$G18),1,""))</f>
        <v/>
      </c>
      <c r="AA18" s="129">
        <f>IF(OR($G18="",$H18="",$H18&lt;$G18),"",IF(AND(AA$9&lt;=$H18,AA$9+6&gt;=$G18),1,""))</f>
        <v/>
      </c>
      <c r="AB18" s="130">
        <f>IF(OR($G18="",$H18="",$H18&lt;$G18),"",IF(AND(AB$9&lt;=$H18,AB$9+6&gt;=$G18),1,""))</f>
        <v/>
      </c>
      <c r="AC18" s="129">
        <f>IF(OR($G18="",$H18="",$H18&lt;$G18),"",IF(AND(AC$9&lt;=$H18,AC$9+6&gt;=$G18),1,""))</f>
        <v/>
      </c>
      <c r="AD18" s="130">
        <f>IF(OR($G18="",$H18="",$H18&lt;$G18),"",IF(AND(AD$9&lt;=$H18,AD$9+6&gt;=$G18),1,""))</f>
        <v/>
      </c>
    </row>
    <row r="19" ht="23" customHeight="1">
      <c r="B19" s="6" t="inlineStr">
        <is>
          <t>CA 1B</t>
        </is>
      </c>
      <c r="C19" s="50" t="inlineStr">
        <is>
          <t>C10 Custom ISA và tổng ôn</t>
        </is>
      </c>
      <c r="D19" s="8" t="inlineStr">
        <is>
          <t>Nguyễn Hải Minh</t>
        </is>
      </c>
      <c r="E19" s="8" t="inlineStr">
        <is>
          <t>Not Started</t>
        </is>
      </c>
      <c r="F19" s="8" t="inlineStr">
        <is>
          <t>P1</t>
        </is>
      </c>
      <c r="G19" s="131">
        <f>IF(OR($H$6="",'Chi tiet HK1'!E17="",'Chi tiet HK1'!F17="",'Chi tiet HK1'!F17&lt;'Chi tiet HK1'!E17),"",IF('Chi tiet HK1'!D17="Mốc",$H$6+'Chi tiet HK1'!F17*7-1,$H$6+('Chi tiet HK1'!E17-1)*7))</f>
        <v/>
      </c>
      <c r="H19" s="131">
        <f>IF(OR($H$6="",'Chi tiet HK1'!E17="",'Chi tiet HK1'!F17="",'Chi tiet HK1'!F17&lt;'Chi tiet HK1'!E17),"",$H$6+'Chi tiet HK1'!F17*7-1)</f>
        <v/>
      </c>
      <c r="I19" s="128">
        <f>IF(OR(G19="",H19="",H19&lt;G19),"",H19-G19+1)</f>
        <v/>
      </c>
      <c r="J19" s="15" t="n"/>
      <c r="K19" s="129">
        <f>IF(OR($G19="",$H19="",$H19&lt;$G19),"",IF(AND(K$9&lt;=$H19,K$9+6&gt;=$G19),1,""))</f>
        <v/>
      </c>
      <c r="L19" s="130">
        <f>IF(OR($G19="",$H19="",$H19&lt;$G19),"",IF(AND(L$9&lt;=$H19,L$9+6&gt;=$G19),1,""))</f>
        <v/>
      </c>
      <c r="M19" s="129">
        <f>IF(OR($G19="",$H19="",$H19&lt;$G19),"",IF(AND(M$9&lt;=$H19,M$9+6&gt;=$G19),1,""))</f>
        <v/>
      </c>
      <c r="N19" s="130">
        <f>IF(OR($G19="",$H19="",$H19&lt;$G19),"",IF(AND(N$9&lt;=$H19,N$9+6&gt;=$G19),1,""))</f>
        <v/>
      </c>
      <c r="O19" s="129">
        <f>IF(OR($G19="",$H19="",$H19&lt;$G19),"",IF(AND(O$9&lt;=$H19,O$9+6&gt;=$G19),1,""))</f>
        <v/>
      </c>
      <c r="P19" s="130">
        <f>IF(OR($G19="",$H19="",$H19&lt;$G19),"",IF(AND(P$9&lt;=$H19,P$9+6&gt;=$G19),1,""))</f>
        <v/>
      </c>
      <c r="Q19" s="129">
        <f>IF(OR($G19="",$H19="",$H19&lt;$G19),"",IF(AND(Q$9&lt;=$H19,Q$9+6&gt;=$G19),1,""))</f>
        <v/>
      </c>
      <c r="R19" s="130">
        <f>IF(OR($G19="",$H19="",$H19&lt;$G19),"",IF(AND(R$9&lt;=$H19,R$9+6&gt;=$G19),1,""))</f>
        <v/>
      </c>
      <c r="S19" s="129">
        <f>IF(OR($G19="",$H19="",$H19&lt;$G19),"",IF(AND(S$9&lt;=$H19,S$9+6&gt;=$G19),1,""))</f>
        <v/>
      </c>
      <c r="T19" s="130">
        <f>IF(OR($G19="",$H19="",$H19&lt;$G19),"",IF(AND(T$9&lt;=$H19,T$9+6&gt;=$G19),1,""))</f>
        <v/>
      </c>
      <c r="U19" s="129">
        <f>IF(OR($G19="",$H19="",$H19&lt;$G19),"",IF(AND(U$9&lt;=$H19,U$9+6&gt;=$G19),1,""))</f>
        <v/>
      </c>
      <c r="V19" s="130">
        <f>IF(OR($G19="",$H19="",$H19&lt;$G19),"",IF(AND(V$9&lt;=$H19,V$9+6&gt;=$G19),1,""))</f>
        <v/>
      </c>
      <c r="W19" s="129">
        <f>IF(OR($G19="",$H19="",$H19&lt;$G19),"",IF(AND(W$9&lt;=$H19,W$9+6&gt;=$G19),1,""))</f>
        <v/>
      </c>
      <c r="X19" s="130">
        <f>IF(OR($G19="",$H19="",$H19&lt;$G19),"",IF(AND(X$9&lt;=$H19,X$9+6&gt;=$G19),1,""))</f>
        <v/>
      </c>
      <c r="Y19" s="129">
        <f>IF(OR($G19="",$H19="",$H19&lt;$G19),"",IF(AND(Y$9&lt;=$H19,Y$9+6&gt;=$G19),1,""))</f>
        <v/>
      </c>
      <c r="Z19" s="130">
        <f>IF(OR($G19="",$H19="",$H19&lt;$G19),"",IF(AND(Z$9&lt;=$H19,Z$9+6&gt;=$G19),1,""))</f>
        <v/>
      </c>
      <c r="AA19" s="129">
        <f>IF(OR($G19="",$H19="",$H19&lt;$G19),"",IF(AND(AA$9&lt;=$H19,AA$9+6&gt;=$G19),1,""))</f>
        <v/>
      </c>
      <c r="AB19" s="130">
        <f>IF(OR($G19="",$H19="",$H19&lt;$G19),"",IF(AND(AB$9&lt;=$H19,AB$9+6&gt;=$G19),1,""))</f>
        <v/>
      </c>
      <c r="AC19" s="129">
        <f>IF(OR($G19="",$H19="",$H19&lt;$G19),"",IF(AND(AC$9&lt;=$H19,AC$9+6&gt;=$G19),1,""))</f>
        <v/>
      </c>
      <c r="AD19" s="130">
        <f>IF(OR($G19="",$H19="",$H19&lt;$G19),"",IF(AND(AD$9&lt;=$H19,AD$9+6&gt;=$G19),1,""))</f>
        <v/>
      </c>
    </row>
    <row r="20" ht="23" customHeight="1">
      <c r="B20" s="5" t="inlineStr">
        <is>
          <t>Đồ án 1A</t>
        </is>
      </c>
      <c r="C20" s="49" t="inlineStr">
        <is>
          <t>P01 Phạm vi và tự đánh giá</t>
        </is>
      </c>
      <c r="D20" s="7" t="inlineStr">
        <is>
          <t>Nguyễn Hải Minh</t>
        </is>
      </c>
      <c r="E20" s="7" t="inlineStr">
        <is>
          <t>Not Started</t>
        </is>
      </c>
      <c r="F20" s="7" t="inlineStr">
        <is>
          <t>P0</t>
        </is>
      </c>
      <c r="G20" s="127">
        <f>IF(OR($H$6="",'Chi tiet HK1'!E18="",'Chi tiet HK1'!F18="",'Chi tiet HK1'!F18&lt;'Chi tiet HK1'!E18),"",IF('Chi tiet HK1'!D18="Mốc",$H$6+'Chi tiet HK1'!F18*7-1,$H$6+('Chi tiet HK1'!E18-1)*7))</f>
        <v/>
      </c>
      <c r="H20" s="127">
        <f>IF(OR($H$6="",'Chi tiet HK1'!E18="",'Chi tiet HK1'!F18="",'Chi tiet HK1'!F18&lt;'Chi tiet HK1'!E18),"",$H$6+'Chi tiet HK1'!F18*7-1)</f>
        <v/>
      </c>
      <c r="I20" s="128">
        <f>IF(OR(G20="",H20="",H20&lt;G20),"",H20-G20+1)</f>
        <v/>
      </c>
      <c r="J20" s="15" t="n"/>
      <c r="K20" s="129">
        <f>IF(OR($G20="",$H20="",$H20&lt;$G20),"",IF(AND(K$9&lt;=$H20,K$9+6&gt;=$G20),1,""))</f>
        <v/>
      </c>
      <c r="L20" s="130">
        <f>IF(OR($G20="",$H20="",$H20&lt;$G20),"",IF(AND(L$9&lt;=$H20,L$9+6&gt;=$G20),1,""))</f>
        <v/>
      </c>
      <c r="M20" s="129">
        <f>IF(OR($G20="",$H20="",$H20&lt;$G20),"",IF(AND(M$9&lt;=$H20,M$9+6&gt;=$G20),1,""))</f>
        <v/>
      </c>
      <c r="N20" s="130">
        <f>IF(OR($G20="",$H20="",$H20&lt;$G20),"",IF(AND(N$9&lt;=$H20,N$9+6&gt;=$G20),1,""))</f>
        <v/>
      </c>
      <c r="O20" s="129">
        <f>IF(OR($G20="",$H20="",$H20&lt;$G20),"",IF(AND(O$9&lt;=$H20,O$9+6&gt;=$G20),1,""))</f>
        <v/>
      </c>
      <c r="P20" s="130">
        <f>IF(OR($G20="",$H20="",$H20&lt;$G20),"",IF(AND(P$9&lt;=$H20,P$9+6&gt;=$G20),1,""))</f>
        <v/>
      </c>
      <c r="Q20" s="129">
        <f>IF(OR($G20="",$H20="",$H20&lt;$G20),"",IF(AND(Q$9&lt;=$H20,Q$9+6&gt;=$G20),1,""))</f>
        <v/>
      </c>
      <c r="R20" s="130">
        <f>IF(OR($G20="",$H20="",$H20&lt;$G20),"",IF(AND(R$9&lt;=$H20,R$9+6&gt;=$G20),1,""))</f>
        <v/>
      </c>
      <c r="S20" s="129">
        <f>IF(OR($G20="",$H20="",$H20&lt;$G20),"",IF(AND(S$9&lt;=$H20,S$9+6&gt;=$G20),1,""))</f>
        <v/>
      </c>
      <c r="T20" s="130">
        <f>IF(OR($G20="",$H20="",$H20&lt;$G20),"",IF(AND(T$9&lt;=$H20,T$9+6&gt;=$G20),1,""))</f>
        <v/>
      </c>
      <c r="U20" s="129">
        <f>IF(OR($G20="",$H20="",$H20&lt;$G20),"",IF(AND(U$9&lt;=$H20,U$9+6&gt;=$G20),1,""))</f>
        <v/>
      </c>
      <c r="V20" s="130">
        <f>IF(OR($G20="",$H20="",$H20&lt;$G20),"",IF(AND(V$9&lt;=$H20,V$9+6&gt;=$G20),1,""))</f>
        <v/>
      </c>
      <c r="W20" s="129">
        <f>IF(OR($G20="",$H20="",$H20&lt;$G20),"",IF(AND(W$9&lt;=$H20,W$9+6&gt;=$G20),1,""))</f>
        <v/>
      </c>
      <c r="X20" s="130">
        <f>IF(OR($G20="",$H20="",$H20&lt;$G20),"",IF(AND(X$9&lt;=$H20,X$9+6&gt;=$G20),1,""))</f>
        <v/>
      </c>
      <c r="Y20" s="129">
        <f>IF(OR($G20="",$H20="",$H20&lt;$G20),"",IF(AND(Y$9&lt;=$H20,Y$9+6&gt;=$G20),1,""))</f>
        <v/>
      </c>
      <c r="Z20" s="130">
        <f>IF(OR($G20="",$H20="",$H20&lt;$G20),"",IF(AND(Z$9&lt;=$H20,Z$9+6&gt;=$G20),1,""))</f>
        <v/>
      </c>
      <c r="AA20" s="129">
        <f>IF(OR($G20="",$H20="",$H20&lt;$G20),"",IF(AND(AA$9&lt;=$H20,AA$9+6&gt;=$G20),1,""))</f>
        <v/>
      </c>
      <c r="AB20" s="130">
        <f>IF(OR($G20="",$H20="",$H20&lt;$G20),"",IF(AND(AB$9&lt;=$H20,AB$9+6&gt;=$G20),1,""))</f>
        <v/>
      </c>
      <c r="AC20" s="129">
        <f>IF(OR($G20="",$H20="",$H20&lt;$G20),"",IF(AND(AC$9&lt;=$H20,AC$9+6&gt;=$G20),1,""))</f>
        <v/>
      </c>
      <c r="AD20" s="130">
        <f>IF(OR($G20="",$H20="",$H20&lt;$G20),"",IF(AND(AD$9&lt;=$H20,AD$9+6&gt;=$G20),1,""))</f>
        <v/>
      </c>
    </row>
    <row r="21" ht="23" customHeight="1">
      <c r="B21" s="6" t="inlineStr">
        <is>
          <t>Đồ án 1A</t>
        </is>
      </c>
      <c r="C21" s="50" t="inlineStr">
        <is>
          <t>P02 Môi trường và nhật ký</t>
        </is>
      </c>
      <c r="D21" s="8" t="inlineStr">
        <is>
          <t>Nguyễn Hải Minh</t>
        </is>
      </c>
      <c r="E21" s="8" t="inlineStr">
        <is>
          <t>Not Started</t>
        </is>
      </c>
      <c r="F21" s="8" t="inlineStr">
        <is>
          <t>P0</t>
        </is>
      </c>
      <c r="G21" s="131">
        <f>IF(OR($H$6="",'Chi tiet HK1'!E19="",'Chi tiet HK1'!F19="",'Chi tiet HK1'!F19&lt;'Chi tiet HK1'!E19),"",IF('Chi tiet HK1'!D19="Mốc",$H$6+'Chi tiet HK1'!F19*7-1,$H$6+('Chi tiet HK1'!E19-1)*7))</f>
        <v/>
      </c>
      <c r="H21" s="131">
        <f>IF(OR($H$6="",'Chi tiet HK1'!E19="",'Chi tiet HK1'!F19="",'Chi tiet HK1'!F19&lt;'Chi tiet HK1'!E19),"",$H$6+'Chi tiet HK1'!F19*7-1)</f>
        <v/>
      </c>
      <c r="I21" s="128">
        <f>IF(OR(G21="",H21="",H21&lt;G21),"",H21-G21+1)</f>
        <v/>
      </c>
      <c r="J21" s="15" t="n"/>
      <c r="K21" s="129">
        <f>IF(OR($G21="",$H21="",$H21&lt;$G21),"",IF(AND(K$9&lt;=$H21,K$9+6&gt;=$G21),1,""))</f>
        <v/>
      </c>
      <c r="L21" s="130">
        <f>IF(OR($G21="",$H21="",$H21&lt;$G21),"",IF(AND(L$9&lt;=$H21,L$9+6&gt;=$G21),1,""))</f>
        <v/>
      </c>
      <c r="M21" s="129">
        <f>IF(OR($G21="",$H21="",$H21&lt;$G21),"",IF(AND(M$9&lt;=$H21,M$9+6&gt;=$G21),1,""))</f>
        <v/>
      </c>
      <c r="N21" s="130">
        <f>IF(OR($G21="",$H21="",$H21&lt;$G21),"",IF(AND(N$9&lt;=$H21,N$9+6&gt;=$G21),1,""))</f>
        <v/>
      </c>
      <c r="O21" s="129">
        <f>IF(OR($G21="",$H21="",$H21&lt;$G21),"",IF(AND(O$9&lt;=$H21,O$9+6&gt;=$G21),1,""))</f>
        <v/>
      </c>
      <c r="P21" s="130">
        <f>IF(OR($G21="",$H21="",$H21&lt;$G21),"",IF(AND(P$9&lt;=$H21,P$9+6&gt;=$G21),1,""))</f>
        <v/>
      </c>
      <c r="Q21" s="129">
        <f>IF(OR($G21="",$H21="",$H21&lt;$G21),"",IF(AND(Q$9&lt;=$H21,Q$9+6&gt;=$G21),1,""))</f>
        <v/>
      </c>
      <c r="R21" s="130">
        <f>IF(OR($G21="",$H21="",$H21&lt;$G21),"",IF(AND(R$9&lt;=$H21,R$9+6&gt;=$G21),1,""))</f>
        <v/>
      </c>
      <c r="S21" s="129">
        <f>IF(OR($G21="",$H21="",$H21&lt;$G21),"",IF(AND(S$9&lt;=$H21,S$9+6&gt;=$G21),1,""))</f>
        <v/>
      </c>
      <c r="T21" s="130">
        <f>IF(OR($G21="",$H21="",$H21&lt;$G21),"",IF(AND(T$9&lt;=$H21,T$9+6&gt;=$G21),1,""))</f>
        <v/>
      </c>
      <c r="U21" s="129">
        <f>IF(OR($G21="",$H21="",$H21&lt;$G21),"",IF(AND(U$9&lt;=$H21,U$9+6&gt;=$G21),1,""))</f>
        <v/>
      </c>
      <c r="V21" s="130">
        <f>IF(OR($G21="",$H21="",$H21&lt;$G21),"",IF(AND(V$9&lt;=$H21,V$9+6&gt;=$G21),1,""))</f>
        <v/>
      </c>
      <c r="W21" s="129">
        <f>IF(OR($G21="",$H21="",$H21&lt;$G21),"",IF(AND(W$9&lt;=$H21,W$9+6&gt;=$G21),1,""))</f>
        <v/>
      </c>
      <c r="X21" s="130">
        <f>IF(OR($G21="",$H21="",$H21&lt;$G21),"",IF(AND(X$9&lt;=$H21,X$9+6&gt;=$G21),1,""))</f>
        <v/>
      </c>
      <c r="Y21" s="129">
        <f>IF(OR($G21="",$H21="",$H21&lt;$G21),"",IF(AND(Y$9&lt;=$H21,Y$9+6&gt;=$G21),1,""))</f>
        <v/>
      </c>
      <c r="Z21" s="130">
        <f>IF(OR($G21="",$H21="",$H21&lt;$G21),"",IF(AND(Z$9&lt;=$H21,Z$9+6&gt;=$G21),1,""))</f>
        <v/>
      </c>
      <c r="AA21" s="129">
        <f>IF(OR($G21="",$H21="",$H21&lt;$G21),"",IF(AND(AA$9&lt;=$H21,AA$9+6&gt;=$G21),1,""))</f>
        <v/>
      </c>
      <c r="AB21" s="130">
        <f>IF(OR($G21="",$H21="",$H21&lt;$G21),"",IF(AND(AB$9&lt;=$H21,AB$9+6&gt;=$G21),1,""))</f>
        <v/>
      </c>
      <c r="AC21" s="129">
        <f>IF(OR($G21="",$H21="",$H21&lt;$G21),"",IF(AND(AC$9&lt;=$H21,AC$9+6&gt;=$G21),1,""))</f>
        <v/>
      </c>
      <c r="AD21" s="130">
        <f>IF(OR($G21="",$H21="",$H21&lt;$G21),"",IF(AND(AD$9&lt;=$H21,AD$9+6&gt;=$G21),1,""))</f>
        <v/>
      </c>
    </row>
    <row r="22" ht="23" customHeight="1">
      <c r="B22" s="5" t="inlineStr">
        <is>
          <t>Đồ án 1A</t>
        </is>
      </c>
      <c r="C22" s="49" t="inlineStr">
        <is>
          <t>P03 Khảo sát core và kit</t>
        </is>
      </c>
      <c r="D22" s="7" t="inlineStr">
        <is>
          <t>Nguyễn Hải Minh</t>
        </is>
      </c>
      <c r="E22" s="7" t="inlineStr">
        <is>
          <t>Not Started</t>
        </is>
      </c>
      <c r="F22" s="7" t="inlineStr">
        <is>
          <t>P1</t>
        </is>
      </c>
      <c r="G22" s="127">
        <f>IF(OR($H$6="",'Chi tiet HK1'!E20="",'Chi tiet HK1'!F20="",'Chi tiet HK1'!F20&lt;'Chi tiet HK1'!E20),"",IF('Chi tiet HK1'!D20="Mốc",$H$6+'Chi tiet HK1'!F20*7-1,$H$6+('Chi tiet HK1'!E20-1)*7))</f>
        <v/>
      </c>
      <c r="H22" s="127">
        <f>IF(OR($H$6="",'Chi tiet HK1'!E20="",'Chi tiet HK1'!F20="",'Chi tiet HK1'!F20&lt;'Chi tiet HK1'!E20),"",$H$6+'Chi tiet HK1'!F20*7-1)</f>
        <v/>
      </c>
      <c r="I22" s="128">
        <f>IF(OR(G22="",H22="",H22&lt;G22),"",H22-G22+1)</f>
        <v/>
      </c>
      <c r="J22" s="15" t="n"/>
      <c r="K22" s="129">
        <f>IF(OR($G22="",$H22="",$H22&lt;$G22),"",IF(AND(K$9&lt;=$H22,K$9+6&gt;=$G22),1,""))</f>
        <v/>
      </c>
      <c r="L22" s="130">
        <f>IF(OR($G22="",$H22="",$H22&lt;$G22),"",IF(AND(L$9&lt;=$H22,L$9+6&gt;=$G22),1,""))</f>
        <v/>
      </c>
      <c r="M22" s="129">
        <f>IF(OR($G22="",$H22="",$H22&lt;$G22),"",IF(AND(M$9&lt;=$H22,M$9+6&gt;=$G22),1,""))</f>
        <v/>
      </c>
      <c r="N22" s="130">
        <f>IF(OR($G22="",$H22="",$H22&lt;$G22),"",IF(AND(N$9&lt;=$H22,N$9+6&gt;=$G22),1,""))</f>
        <v/>
      </c>
      <c r="O22" s="129">
        <f>IF(OR($G22="",$H22="",$H22&lt;$G22),"",IF(AND(O$9&lt;=$H22,O$9+6&gt;=$G22),1,""))</f>
        <v/>
      </c>
      <c r="P22" s="130">
        <f>IF(OR($G22="",$H22="",$H22&lt;$G22),"",IF(AND(P$9&lt;=$H22,P$9+6&gt;=$G22),1,""))</f>
        <v/>
      </c>
      <c r="Q22" s="129">
        <f>IF(OR($G22="",$H22="",$H22&lt;$G22),"",IF(AND(Q$9&lt;=$H22,Q$9+6&gt;=$G22),1,""))</f>
        <v/>
      </c>
      <c r="R22" s="130">
        <f>IF(OR($G22="",$H22="",$H22&lt;$G22),"",IF(AND(R$9&lt;=$H22,R$9+6&gt;=$G22),1,""))</f>
        <v/>
      </c>
      <c r="S22" s="129">
        <f>IF(OR($G22="",$H22="",$H22&lt;$G22),"",IF(AND(S$9&lt;=$H22,S$9+6&gt;=$G22),1,""))</f>
        <v/>
      </c>
      <c r="T22" s="130">
        <f>IF(OR($G22="",$H22="",$H22&lt;$G22),"",IF(AND(T$9&lt;=$H22,T$9+6&gt;=$G22),1,""))</f>
        <v/>
      </c>
      <c r="U22" s="129">
        <f>IF(OR($G22="",$H22="",$H22&lt;$G22),"",IF(AND(U$9&lt;=$H22,U$9+6&gt;=$G22),1,""))</f>
        <v/>
      </c>
      <c r="V22" s="130">
        <f>IF(OR($G22="",$H22="",$H22&lt;$G22),"",IF(AND(V$9&lt;=$H22,V$9+6&gt;=$G22),1,""))</f>
        <v/>
      </c>
      <c r="W22" s="129">
        <f>IF(OR($G22="",$H22="",$H22&lt;$G22),"",IF(AND(W$9&lt;=$H22,W$9+6&gt;=$G22),1,""))</f>
        <v/>
      </c>
      <c r="X22" s="130">
        <f>IF(OR($G22="",$H22="",$H22&lt;$G22),"",IF(AND(X$9&lt;=$H22,X$9+6&gt;=$G22),1,""))</f>
        <v/>
      </c>
      <c r="Y22" s="129">
        <f>IF(OR($G22="",$H22="",$H22&lt;$G22),"",IF(AND(Y$9&lt;=$H22,Y$9+6&gt;=$G22),1,""))</f>
        <v/>
      </c>
      <c r="Z22" s="130">
        <f>IF(OR($G22="",$H22="",$H22&lt;$G22),"",IF(AND(Z$9&lt;=$H22,Z$9+6&gt;=$G22),1,""))</f>
        <v/>
      </c>
      <c r="AA22" s="129">
        <f>IF(OR($G22="",$H22="",$H22&lt;$G22),"",IF(AND(AA$9&lt;=$H22,AA$9+6&gt;=$G22),1,""))</f>
        <v/>
      </c>
      <c r="AB22" s="130">
        <f>IF(OR($G22="",$H22="",$H22&lt;$G22),"",IF(AND(AB$9&lt;=$H22,AB$9+6&gt;=$G22),1,""))</f>
        <v/>
      </c>
      <c r="AC22" s="129">
        <f>IF(OR($G22="",$H22="",$H22&lt;$G22),"",IF(AND(AC$9&lt;=$H22,AC$9+6&gt;=$G22),1,""))</f>
        <v/>
      </c>
      <c r="AD22" s="130">
        <f>IF(OR($G22="",$H22="",$H22&lt;$G22),"",IF(AND(AD$9&lt;=$H22,AD$9+6&gt;=$G22),1,""))</f>
        <v/>
      </c>
    </row>
    <row r="23" ht="23" customHeight="1">
      <c r="B23" s="6" t="inlineStr">
        <is>
          <t>Đồ án 1A</t>
        </is>
      </c>
      <c r="C23" s="50" t="inlineStr">
        <is>
          <t>P04 Đọc báo và tiêu chí baseline</t>
        </is>
      </c>
      <c r="D23" s="8" t="inlineStr">
        <is>
          <t>Nguyễn Hải Minh</t>
        </is>
      </c>
      <c r="E23" s="8" t="inlineStr">
        <is>
          <t>Not Started</t>
        </is>
      </c>
      <c r="F23" s="8" t="inlineStr">
        <is>
          <t>P1</t>
        </is>
      </c>
      <c r="G23" s="131">
        <f>IF(OR($H$6="",'Chi tiet HK1'!E21="",'Chi tiet HK1'!F21="",'Chi tiet HK1'!F21&lt;'Chi tiet HK1'!E21),"",IF('Chi tiet HK1'!D21="Mốc",$H$6+'Chi tiet HK1'!F21*7-1,$H$6+('Chi tiet HK1'!E21-1)*7))</f>
        <v/>
      </c>
      <c r="H23" s="131">
        <f>IF(OR($H$6="",'Chi tiet HK1'!E21="",'Chi tiet HK1'!F21="",'Chi tiet HK1'!F21&lt;'Chi tiet HK1'!E21),"",$H$6+'Chi tiet HK1'!F21*7-1)</f>
        <v/>
      </c>
      <c r="I23" s="128">
        <f>IF(OR(G23="",H23="",H23&lt;G23),"",H23-G23+1)</f>
        <v/>
      </c>
      <c r="J23" s="15" t="n"/>
      <c r="K23" s="129">
        <f>IF(OR($G23="",$H23="",$H23&lt;$G23),"",IF(AND(K$9&lt;=$H23,K$9+6&gt;=$G23),1,""))</f>
        <v/>
      </c>
      <c r="L23" s="130">
        <f>IF(OR($G23="",$H23="",$H23&lt;$G23),"",IF(AND(L$9&lt;=$H23,L$9+6&gt;=$G23),1,""))</f>
        <v/>
      </c>
      <c r="M23" s="129">
        <f>IF(OR($G23="",$H23="",$H23&lt;$G23),"",IF(AND(M$9&lt;=$H23,M$9+6&gt;=$G23),1,""))</f>
        <v/>
      </c>
      <c r="N23" s="130">
        <f>IF(OR($G23="",$H23="",$H23&lt;$G23),"",IF(AND(N$9&lt;=$H23,N$9+6&gt;=$G23),1,""))</f>
        <v/>
      </c>
      <c r="O23" s="129">
        <f>IF(OR($G23="",$H23="",$H23&lt;$G23),"",IF(AND(O$9&lt;=$H23,O$9+6&gt;=$G23),1,""))</f>
        <v/>
      </c>
      <c r="P23" s="130">
        <f>IF(OR($G23="",$H23="",$H23&lt;$G23),"",IF(AND(P$9&lt;=$H23,P$9+6&gt;=$G23),1,""))</f>
        <v/>
      </c>
      <c r="Q23" s="129">
        <f>IF(OR($G23="",$H23="",$H23&lt;$G23),"",IF(AND(Q$9&lt;=$H23,Q$9+6&gt;=$G23),1,""))</f>
        <v/>
      </c>
      <c r="R23" s="130">
        <f>IF(OR($G23="",$H23="",$H23&lt;$G23),"",IF(AND(R$9&lt;=$H23,R$9+6&gt;=$G23),1,""))</f>
        <v/>
      </c>
      <c r="S23" s="129">
        <f>IF(OR($G23="",$H23="",$H23&lt;$G23),"",IF(AND(S$9&lt;=$H23,S$9+6&gt;=$G23),1,""))</f>
        <v/>
      </c>
      <c r="T23" s="130">
        <f>IF(OR($G23="",$H23="",$H23&lt;$G23),"",IF(AND(T$9&lt;=$H23,T$9+6&gt;=$G23),1,""))</f>
        <v/>
      </c>
      <c r="U23" s="129">
        <f>IF(OR($G23="",$H23="",$H23&lt;$G23),"",IF(AND(U$9&lt;=$H23,U$9+6&gt;=$G23),1,""))</f>
        <v/>
      </c>
      <c r="V23" s="130">
        <f>IF(OR($G23="",$H23="",$H23&lt;$G23),"",IF(AND(V$9&lt;=$H23,V$9+6&gt;=$G23),1,""))</f>
        <v/>
      </c>
      <c r="W23" s="129">
        <f>IF(OR($G23="",$H23="",$H23&lt;$G23),"",IF(AND(W$9&lt;=$H23,W$9+6&gt;=$G23),1,""))</f>
        <v/>
      </c>
      <c r="X23" s="130">
        <f>IF(OR($G23="",$H23="",$H23&lt;$G23),"",IF(AND(X$9&lt;=$H23,X$9+6&gt;=$G23),1,""))</f>
        <v/>
      </c>
      <c r="Y23" s="129">
        <f>IF(OR($G23="",$H23="",$H23&lt;$G23),"",IF(AND(Y$9&lt;=$H23,Y$9+6&gt;=$G23),1,""))</f>
        <v/>
      </c>
      <c r="Z23" s="130">
        <f>IF(OR($G23="",$H23="",$H23&lt;$G23),"",IF(AND(Z$9&lt;=$H23,Z$9+6&gt;=$G23),1,""))</f>
        <v/>
      </c>
      <c r="AA23" s="129">
        <f>IF(OR($G23="",$H23="",$H23&lt;$G23),"",IF(AND(AA$9&lt;=$H23,AA$9+6&gt;=$G23),1,""))</f>
        <v/>
      </c>
      <c r="AB23" s="130">
        <f>IF(OR($G23="",$H23="",$H23&lt;$G23),"",IF(AND(AB$9&lt;=$H23,AB$9+6&gt;=$G23),1,""))</f>
        <v/>
      </c>
      <c r="AC23" s="129">
        <f>IF(OR($G23="",$H23="",$H23&lt;$G23),"",IF(AND(AC$9&lt;=$H23,AC$9+6&gt;=$G23),1,""))</f>
        <v/>
      </c>
      <c r="AD23" s="130">
        <f>IF(OR($G23="",$H23="",$H23&lt;$G23),"",IF(AND(AD$9&lt;=$H23,AD$9+6&gt;=$G23),1,""))</f>
        <v/>
      </c>
    </row>
    <row r="24" ht="23" customHeight="1">
      <c r="B24" s="5" t="inlineStr">
        <is>
          <t>Đồ án 1A</t>
        </is>
      </c>
      <c r="C24" s="49" t="inlineStr">
        <is>
          <t>P05 Chạy demo C của core</t>
        </is>
      </c>
      <c r="D24" s="7" t="inlineStr">
        <is>
          <t>Nguyễn Hải Minh</t>
        </is>
      </c>
      <c r="E24" s="7" t="inlineStr">
        <is>
          <t>Not Started</t>
        </is>
      </c>
      <c r="F24" s="7" t="inlineStr">
        <is>
          <t>P0</t>
        </is>
      </c>
      <c r="G24" s="127">
        <f>IF(OR($H$6="",'Chi tiet HK1'!E22="",'Chi tiet HK1'!F22="",'Chi tiet HK1'!F22&lt;'Chi tiet HK1'!E22),"",IF('Chi tiet HK1'!D22="Mốc",$H$6+'Chi tiet HK1'!F22*7-1,$H$6+('Chi tiet HK1'!E22-1)*7))</f>
        <v/>
      </c>
      <c r="H24" s="127">
        <f>IF(OR($H$6="",'Chi tiet HK1'!E22="",'Chi tiet HK1'!F22="",'Chi tiet HK1'!F22&lt;'Chi tiet HK1'!E22),"",$H$6+'Chi tiet HK1'!F22*7-1)</f>
        <v/>
      </c>
      <c r="I24" s="128">
        <f>IF(OR(G24="",H24="",H24&lt;G24),"",H24-G24+1)</f>
        <v/>
      </c>
      <c r="J24" s="15" t="n"/>
      <c r="K24" s="129">
        <f>IF(OR($G24="",$H24="",$H24&lt;$G24),"",IF(AND(K$9&lt;=$H24,K$9+6&gt;=$G24),1,""))</f>
        <v/>
      </c>
      <c r="L24" s="130">
        <f>IF(OR($G24="",$H24="",$H24&lt;$G24),"",IF(AND(L$9&lt;=$H24,L$9+6&gt;=$G24),1,""))</f>
        <v/>
      </c>
      <c r="M24" s="129">
        <f>IF(OR($G24="",$H24="",$H24&lt;$G24),"",IF(AND(M$9&lt;=$H24,M$9+6&gt;=$G24),1,""))</f>
        <v/>
      </c>
      <c r="N24" s="130">
        <f>IF(OR($G24="",$H24="",$H24&lt;$G24),"",IF(AND(N$9&lt;=$H24,N$9+6&gt;=$G24),1,""))</f>
        <v/>
      </c>
      <c r="O24" s="129">
        <f>IF(OR($G24="",$H24="",$H24&lt;$G24),"",IF(AND(O$9&lt;=$H24,O$9+6&gt;=$G24),1,""))</f>
        <v/>
      </c>
      <c r="P24" s="130">
        <f>IF(OR($G24="",$H24="",$H24&lt;$G24),"",IF(AND(P$9&lt;=$H24,P$9+6&gt;=$G24),1,""))</f>
        <v/>
      </c>
      <c r="Q24" s="129">
        <f>IF(OR($G24="",$H24="",$H24&lt;$G24),"",IF(AND(Q$9&lt;=$H24,Q$9+6&gt;=$G24),1,""))</f>
        <v/>
      </c>
      <c r="R24" s="130">
        <f>IF(OR($G24="",$H24="",$H24&lt;$G24),"",IF(AND(R$9&lt;=$H24,R$9+6&gt;=$G24),1,""))</f>
        <v/>
      </c>
      <c r="S24" s="129">
        <f>IF(OR($G24="",$H24="",$H24&lt;$G24),"",IF(AND(S$9&lt;=$H24,S$9+6&gt;=$G24),1,""))</f>
        <v/>
      </c>
      <c r="T24" s="130">
        <f>IF(OR($G24="",$H24="",$H24&lt;$G24),"",IF(AND(T$9&lt;=$H24,T$9+6&gt;=$G24),1,""))</f>
        <v/>
      </c>
      <c r="U24" s="129">
        <f>IF(OR($G24="",$H24="",$H24&lt;$G24),"",IF(AND(U$9&lt;=$H24,U$9+6&gt;=$G24),1,""))</f>
        <v/>
      </c>
      <c r="V24" s="130">
        <f>IF(OR($G24="",$H24="",$H24&lt;$G24),"",IF(AND(V$9&lt;=$H24,V$9+6&gt;=$G24),1,""))</f>
        <v/>
      </c>
      <c r="W24" s="129">
        <f>IF(OR($G24="",$H24="",$H24&lt;$G24),"",IF(AND(W$9&lt;=$H24,W$9+6&gt;=$G24),1,""))</f>
        <v/>
      </c>
      <c r="X24" s="130">
        <f>IF(OR($G24="",$H24="",$H24&lt;$G24),"",IF(AND(X$9&lt;=$H24,X$9+6&gt;=$G24),1,""))</f>
        <v/>
      </c>
      <c r="Y24" s="129">
        <f>IF(OR($G24="",$H24="",$H24&lt;$G24),"",IF(AND(Y$9&lt;=$H24,Y$9+6&gt;=$G24),1,""))</f>
        <v/>
      </c>
      <c r="Z24" s="130">
        <f>IF(OR($G24="",$H24="",$H24&lt;$G24),"",IF(AND(Z$9&lt;=$H24,Z$9+6&gt;=$G24),1,""))</f>
        <v/>
      </c>
      <c r="AA24" s="129">
        <f>IF(OR($G24="",$H24="",$H24&lt;$G24),"",IF(AND(AA$9&lt;=$H24,AA$9+6&gt;=$G24),1,""))</f>
        <v/>
      </c>
      <c r="AB24" s="130">
        <f>IF(OR($G24="",$H24="",$H24&lt;$G24),"",IF(AND(AB$9&lt;=$H24,AB$9+6&gt;=$G24),1,""))</f>
        <v/>
      </c>
      <c r="AC24" s="129">
        <f>IF(OR($G24="",$H24="",$H24&lt;$G24),"",IF(AND(AC$9&lt;=$H24,AC$9+6&gt;=$G24),1,""))</f>
        <v/>
      </c>
      <c r="AD24" s="130">
        <f>IF(OR($G24="",$H24="",$H24&lt;$G24),"",IF(AND(AD$9&lt;=$H24,AD$9+6&gt;=$G24),1,""))</f>
        <v/>
      </c>
    </row>
    <row r="25" ht="23" customHeight="1">
      <c r="B25" s="6" t="inlineStr">
        <is>
          <t>Đồ án 1A</t>
        </is>
      </c>
      <c r="C25" s="50" t="inlineStr">
        <is>
          <t>P06 Đọc core bằng waveform</t>
        </is>
      </c>
      <c r="D25" s="8" t="inlineStr">
        <is>
          <t>Nguyễn Hải Minh</t>
        </is>
      </c>
      <c r="E25" s="8" t="inlineStr">
        <is>
          <t>Not Started</t>
        </is>
      </c>
      <c r="F25" s="8" t="inlineStr">
        <is>
          <t>P0</t>
        </is>
      </c>
      <c r="G25" s="131">
        <f>IF(OR($H$6="",'Chi tiet HK1'!E23="",'Chi tiet HK1'!F23="",'Chi tiet HK1'!F23&lt;'Chi tiet HK1'!E23),"",IF('Chi tiet HK1'!D23="Mốc",$H$6+'Chi tiet HK1'!F23*7-1,$H$6+('Chi tiet HK1'!E23-1)*7))</f>
        <v/>
      </c>
      <c r="H25" s="131">
        <f>IF(OR($H$6="",'Chi tiet HK1'!E23="",'Chi tiet HK1'!F23="",'Chi tiet HK1'!F23&lt;'Chi tiet HK1'!E23),"",$H$6+'Chi tiet HK1'!F23*7-1)</f>
        <v/>
      </c>
      <c r="I25" s="128">
        <f>IF(OR(G25="",H25="",H25&lt;G25),"",H25-G25+1)</f>
        <v/>
      </c>
      <c r="J25" s="15" t="n"/>
      <c r="K25" s="129">
        <f>IF(OR($G25="",$H25="",$H25&lt;$G25),"",IF(AND(K$9&lt;=$H25,K$9+6&gt;=$G25),1,""))</f>
        <v/>
      </c>
      <c r="L25" s="130">
        <f>IF(OR($G25="",$H25="",$H25&lt;$G25),"",IF(AND(L$9&lt;=$H25,L$9+6&gt;=$G25),1,""))</f>
        <v/>
      </c>
      <c r="M25" s="129">
        <f>IF(OR($G25="",$H25="",$H25&lt;$G25),"",IF(AND(M$9&lt;=$H25,M$9+6&gt;=$G25),1,""))</f>
        <v/>
      </c>
      <c r="N25" s="130">
        <f>IF(OR($G25="",$H25="",$H25&lt;$G25),"",IF(AND(N$9&lt;=$H25,N$9+6&gt;=$G25),1,""))</f>
        <v/>
      </c>
      <c r="O25" s="129">
        <f>IF(OR($G25="",$H25="",$H25&lt;$G25),"",IF(AND(O$9&lt;=$H25,O$9+6&gt;=$G25),1,""))</f>
        <v/>
      </c>
      <c r="P25" s="130">
        <f>IF(OR($G25="",$H25="",$H25&lt;$G25),"",IF(AND(P$9&lt;=$H25,P$9+6&gt;=$G25),1,""))</f>
        <v/>
      </c>
      <c r="Q25" s="129">
        <f>IF(OR($G25="",$H25="",$H25&lt;$G25),"",IF(AND(Q$9&lt;=$H25,Q$9+6&gt;=$G25),1,""))</f>
        <v/>
      </c>
      <c r="R25" s="130">
        <f>IF(OR($G25="",$H25="",$H25&lt;$G25),"",IF(AND(R$9&lt;=$H25,R$9+6&gt;=$G25),1,""))</f>
        <v/>
      </c>
      <c r="S25" s="129">
        <f>IF(OR($G25="",$H25="",$H25&lt;$G25),"",IF(AND(S$9&lt;=$H25,S$9+6&gt;=$G25),1,""))</f>
        <v/>
      </c>
      <c r="T25" s="130">
        <f>IF(OR($G25="",$H25="",$H25&lt;$G25),"",IF(AND(T$9&lt;=$H25,T$9+6&gt;=$G25),1,""))</f>
        <v/>
      </c>
      <c r="U25" s="129">
        <f>IF(OR($G25="",$H25="",$H25&lt;$G25),"",IF(AND(U$9&lt;=$H25,U$9+6&gt;=$G25),1,""))</f>
        <v/>
      </c>
      <c r="V25" s="130">
        <f>IF(OR($G25="",$H25="",$H25&lt;$G25),"",IF(AND(V$9&lt;=$H25,V$9+6&gt;=$G25),1,""))</f>
        <v/>
      </c>
      <c r="W25" s="129">
        <f>IF(OR($G25="",$H25="",$H25&lt;$G25),"",IF(AND(W$9&lt;=$H25,W$9+6&gt;=$G25),1,""))</f>
        <v/>
      </c>
      <c r="X25" s="130">
        <f>IF(OR($G25="",$H25="",$H25&lt;$G25),"",IF(AND(X$9&lt;=$H25,X$9+6&gt;=$G25),1,""))</f>
        <v/>
      </c>
      <c r="Y25" s="129">
        <f>IF(OR($G25="",$H25="",$H25&lt;$G25),"",IF(AND(Y$9&lt;=$H25,Y$9+6&gt;=$G25),1,""))</f>
        <v/>
      </c>
      <c r="Z25" s="130">
        <f>IF(OR($G25="",$H25="",$H25&lt;$G25),"",IF(AND(Z$9&lt;=$H25,Z$9+6&gt;=$G25),1,""))</f>
        <v/>
      </c>
      <c r="AA25" s="129">
        <f>IF(OR($G25="",$H25="",$H25&lt;$G25),"",IF(AND(AA$9&lt;=$H25,AA$9+6&gt;=$G25),1,""))</f>
        <v/>
      </c>
      <c r="AB25" s="130">
        <f>IF(OR($G25="",$H25="",$H25&lt;$G25),"",IF(AND(AB$9&lt;=$H25,AB$9+6&gt;=$G25),1,""))</f>
        <v/>
      </c>
      <c r="AC25" s="129">
        <f>IF(OR($G25="",$H25="",$H25&lt;$G25),"",IF(AND(AC$9&lt;=$H25,AC$9+6&gt;=$G25),1,""))</f>
        <v/>
      </c>
      <c r="AD25" s="130">
        <f>IF(OR($G25="",$H25="",$H25&lt;$G25),"",IF(AND(AD$9&lt;=$H25,AD$9+6&gt;=$G25),1,""))</f>
        <v/>
      </c>
    </row>
    <row r="26" ht="23" customHeight="1">
      <c r="B26" s="5" t="inlineStr">
        <is>
          <t>Đồ án 1A</t>
        </is>
      </c>
      <c r="C26" s="49" t="inlineStr">
        <is>
          <t>P07 Baseline BRAM và UART</t>
        </is>
      </c>
      <c r="D26" s="7" t="inlineStr">
        <is>
          <t>Nguyễn Hải Minh</t>
        </is>
      </c>
      <c r="E26" s="7" t="inlineStr">
        <is>
          <t>Not Started</t>
        </is>
      </c>
      <c r="F26" s="7" t="inlineStr">
        <is>
          <t>P0</t>
        </is>
      </c>
      <c r="G26" s="127">
        <f>IF(OR($H$6="",'Chi tiet HK1'!E24="",'Chi tiet HK1'!F24="",'Chi tiet HK1'!F24&lt;'Chi tiet HK1'!E24),"",IF('Chi tiet HK1'!D24="Mốc",$H$6+'Chi tiet HK1'!F24*7-1,$H$6+('Chi tiet HK1'!E24-1)*7))</f>
        <v/>
      </c>
      <c r="H26" s="127">
        <f>IF(OR($H$6="",'Chi tiet HK1'!E24="",'Chi tiet HK1'!F24="",'Chi tiet HK1'!F24&lt;'Chi tiet HK1'!E24),"",$H$6+'Chi tiet HK1'!F24*7-1)</f>
        <v/>
      </c>
      <c r="I26" s="128">
        <f>IF(OR(G26="",H26="",H26&lt;G26),"",H26-G26+1)</f>
        <v/>
      </c>
      <c r="J26" s="15" t="n"/>
      <c r="K26" s="129">
        <f>IF(OR($G26="",$H26="",$H26&lt;$G26),"",IF(AND(K$9&lt;=$H26,K$9+6&gt;=$G26),1,""))</f>
        <v/>
      </c>
      <c r="L26" s="130">
        <f>IF(OR($G26="",$H26="",$H26&lt;$G26),"",IF(AND(L$9&lt;=$H26,L$9+6&gt;=$G26),1,""))</f>
        <v/>
      </c>
      <c r="M26" s="129">
        <f>IF(OR($G26="",$H26="",$H26&lt;$G26),"",IF(AND(M$9&lt;=$H26,M$9+6&gt;=$G26),1,""))</f>
        <v/>
      </c>
      <c r="N26" s="130">
        <f>IF(OR($G26="",$H26="",$H26&lt;$G26),"",IF(AND(N$9&lt;=$H26,N$9+6&gt;=$G26),1,""))</f>
        <v/>
      </c>
      <c r="O26" s="129">
        <f>IF(OR($G26="",$H26="",$H26&lt;$G26),"",IF(AND(O$9&lt;=$H26,O$9+6&gt;=$G26),1,""))</f>
        <v/>
      </c>
      <c r="P26" s="130">
        <f>IF(OR($G26="",$H26="",$H26&lt;$G26),"",IF(AND(P$9&lt;=$H26,P$9+6&gt;=$G26),1,""))</f>
        <v/>
      </c>
      <c r="Q26" s="129">
        <f>IF(OR($G26="",$H26="",$H26&lt;$G26),"",IF(AND(Q$9&lt;=$H26,Q$9+6&gt;=$G26),1,""))</f>
        <v/>
      </c>
      <c r="R26" s="130">
        <f>IF(OR($G26="",$H26="",$H26&lt;$G26),"",IF(AND(R$9&lt;=$H26,R$9+6&gt;=$G26),1,""))</f>
        <v/>
      </c>
      <c r="S26" s="129">
        <f>IF(OR($G26="",$H26="",$H26&lt;$G26),"",IF(AND(S$9&lt;=$H26,S$9+6&gt;=$G26),1,""))</f>
        <v/>
      </c>
      <c r="T26" s="130">
        <f>IF(OR($G26="",$H26="",$H26&lt;$G26),"",IF(AND(T$9&lt;=$H26,T$9+6&gt;=$G26),1,""))</f>
        <v/>
      </c>
      <c r="U26" s="129">
        <f>IF(OR($G26="",$H26="",$H26&lt;$G26),"",IF(AND(U$9&lt;=$H26,U$9+6&gt;=$G26),1,""))</f>
        <v/>
      </c>
      <c r="V26" s="130">
        <f>IF(OR($G26="",$H26="",$H26&lt;$G26),"",IF(AND(V$9&lt;=$H26,V$9+6&gt;=$G26),1,""))</f>
        <v/>
      </c>
      <c r="W26" s="129">
        <f>IF(OR($G26="",$H26="",$H26&lt;$G26),"",IF(AND(W$9&lt;=$H26,W$9+6&gt;=$G26),1,""))</f>
        <v/>
      </c>
      <c r="X26" s="130">
        <f>IF(OR($G26="",$H26="",$H26&lt;$G26),"",IF(AND(X$9&lt;=$H26,X$9+6&gt;=$G26),1,""))</f>
        <v/>
      </c>
      <c r="Y26" s="129">
        <f>IF(OR($G26="",$H26="",$H26&lt;$G26),"",IF(AND(Y$9&lt;=$H26,Y$9+6&gt;=$G26),1,""))</f>
        <v/>
      </c>
      <c r="Z26" s="130">
        <f>IF(OR($G26="",$H26="",$H26&lt;$G26),"",IF(AND(Z$9&lt;=$H26,Z$9+6&gt;=$G26),1,""))</f>
        <v/>
      </c>
      <c r="AA26" s="129">
        <f>IF(OR($G26="",$H26="",$H26&lt;$G26),"",IF(AND(AA$9&lt;=$H26,AA$9+6&gt;=$G26),1,""))</f>
        <v/>
      </c>
      <c r="AB26" s="130">
        <f>IF(OR($G26="",$H26="",$H26&lt;$G26),"",IF(AND(AB$9&lt;=$H26,AB$9+6&gt;=$G26),1,""))</f>
        <v/>
      </c>
      <c r="AC26" s="129">
        <f>IF(OR($G26="",$H26="",$H26&lt;$G26),"",IF(AND(AC$9&lt;=$H26,AC$9+6&gt;=$G26),1,""))</f>
        <v/>
      </c>
      <c r="AD26" s="130">
        <f>IF(OR($G26="",$H26="",$H26&lt;$G26),"",IF(AND(AD$9&lt;=$H26,AD$9+6&gt;=$G26),1,""))</f>
        <v/>
      </c>
    </row>
    <row r="27" ht="23" customHeight="1">
      <c r="B27" s="6" t="inlineStr">
        <is>
          <t>Đồ án 1A</t>
        </is>
      </c>
      <c r="C27" s="50" t="inlineStr">
        <is>
          <t>P08 Chốt baseline cuối 1A</t>
        </is>
      </c>
      <c r="D27" s="8" t="inlineStr">
        <is>
          <t>Nguyễn Hải Minh</t>
        </is>
      </c>
      <c r="E27" s="8" t="inlineStr">
        <is>
          <t>Not Started</t>
        </is>
      </c>
      <c r="F27" s="8" t="inlineStr">
        <is>
          <t>P0</t>
        </is>
      </c>
      <c r="G27" s="131">
        <f>IF(OR($H$6="",'Chi tiet HK1'!E25="",'Chi tiet HK1'!F25="",'Chi tiet HK1'!F25&lt;'Chi tiet HK1'!E25),"",IF('Chi tiet HK1'!D25="Mốc",$H$6+'Chi tiet HK1'!F25*7-1,$H$6+('Chi tiet HK1'!E25-1)*7))</f>
        <v/>
      </c>
      <c r="H27" s="131">
        <f>IF(OR($H$6="",'Chi tiet HK1'!E25="",'Chi tiet HK1'!F25="",'Chi tiet HK1'!F25&lt;'Chi tiet HK1'!E25),"",$H$6+'Chi tiet HK1'!F25*7-1)</f>
        <v/>
      </c>
      <c r="I27" s="128">
        <f>IF(OR(G27="",H27="",H27&lt;G27),"",H27-G27+1)</f>
        <v/>
      </c>
      <c r="J27" s="15" t="n"/>
      <c r="K27" s="129">
        <f>IF(OR($G27="",$H27="",$H27&lt;$G27),"",IF(AND(K$9&lt;=$H27,K$9+6&gt;=$G27),1,""))</f>
        <v/>
      </c>
      <c r="L27" s="130">
        <f>IF(OR($G27="",$H27="",$H27&lt;$G27),"",IF(AND(L$9&lt;=$H27,L$9+6&gt;=$G27),1,""))</f>
        <v/>
      </c>
      <c r="M27" s="129">
        <f>IF(OR($G27="",$H27="",$H27&lt;$G27),"",IF(AND(M$9&lt;=$H27,M$9+6&gt;=$G27),1,""))</f>
        <v/>
      </c>
      <c r="N27" s="130">
        <f>IF(OR($G27="",$H27="",$H27&lt;$G27),"",IF(AND(N$9&lt;=$H27,N$9+6&gt;=$G27),1,""))</f>
        <v/>
      </c>
      <c r="O27" s="129">
        <f>IF(OR($G27="",$H27="",$H27&lt;$G27),"",IF(AND(O$9&lt;=$H27,O$9+6&gt;=$G27),1,""))</f>
        <v/>
      </c>
      <c r="P27" s="130">
        <f>IF(OR($G27="",$H27="",$H27&lt;$G27),"",IF(AND(P$9&lt;=$H27,P$9+6&gt;=$G27),1,""))</f>
        <v/>
      </c>
      <c r="Q27" s="129">
        <f>IF(OR($G27="",$H27="",$H27&lt;$G27),"",IF(AND(Q$9&lt;=$H27,Q$9+6&gt;=$G27),1,""))</f>
        <v/>
      </c>
      <c r="R27" s="130">
        <f>IF(OR($G27="",$H27="",$H27&lt;$G27),"",IF(AND(R$9&lt;=$H27,R$9+6&gt;=$G27),1,""))</f>
        <v/>
      </c>
      <c r="S27" s="129">
        <f>IF(OR($G27="",$H27="",$H27&lt;$G27),"",IF(AND(S$9&lt;=$H27,S$9+6&gt;=$G27),1,""))</f>
        <v/>
      </c>
      <c r="T27" s="130">
        <f>IF(OR($G27="",$H27="",$H27&lt;$G27),"",IF(AND(T$9&lt;=$H27,T$9+6&gt;=$G27),1,""))</f>
        <v/>
      </c>
      <c r="U27" s="129">
        <f>IF(OR($G27="",$H27="",$H27&lt;$G27),"",IF(AND(U$9&lt;=$H27,U$9+6&gt;=$G27),1,""))</f>
        <v/>
      </c>
      <c r="V27" s="130">
        <f>IF(OR($G27="",$H27="",$H27&lt;$G27),"",IF(AND(V$9&lt;=$H27,V$9+6&gt;=$G27),1,""))</f>
        <v/>
      </c>
      <c r="W27" s="129">
        <f>IF(OR($G27="",$H27="",$H27&lt;$G27),"",IF(AND(W$9&lt;=$H27,W$9+6&gt;=$G27),1,""))</f>
        <v/>
      </c>
      <c r="X27" s="130">
        <f>IF(OR($G27="",$H27="",$H27&lt;$G27),"",IF(AND(X$9&lt;=$H27,X$9+6&gt;=$G27),1,""))</f>
        <v/>
      </c>
      <c r="Y27" s="129">
        <f>IF(OR($G27="",$H27="",$H27&lt;$G27),"",IF(AND(Y$9&lt;=$H27,Y$9+6&gt;=$G27),1,""))</f>
        <v/>
      </c>
      <c r="Z27" s="130">
        <f>IF(OR($G27="",$H27="",$H27&lt;$G27),"",IF(AND(Z$9&lt;=$H27,Z$9+6&gt;=$G27),1,""))</f>
        <v/>
      </c>
      <c r="AA27" s="129">
        <f>IF(OR($G27="",$H27="",$H27&lt;$G27),"",IF(AND(AA$9&lt;=$H27,AA$9+6&gt;=$G27),1,""))</f>
        <v/>
      </c>
      <c r="AB27" s="130">
        <f>IF(OR($G27="",$H27="",$H27&lt;$G27),"",IF(AND(AB$9&lt;=$H27,AB$9+6&gt;=$G27),1,""))</f>
        <v/>
      </c>
      <c r="AC27" s="129">
        <f>IF(OR($G27="",$H27="",$H27&lt;$G27),"",IF(AND(AC$9&lt;=$H27,AC$9+6&gt;=$G27),1,""))</f>
        <v/>
      </c>
      <c r="AD27" s="130">
        <f>IF(OR($G27="",$H27="",$H27&lt;$G27),"",IF(AND(AD$9&lt;=$H27,AD$9+6&gt;=$G27),1,""))</f>
        <v/>
      </c>
    </row>
    <row r="28" ht="23" customHeight="1">
      <c r="B28" s="5" t="inlineStr">
        <is>
          <t>Đồ án 1B</t>
        </is>
      </c>
      <c r="C28" s="49" t="inlineStr">
        <is>
          <t>P09 Bộ đo cycle và kiểm tra</t>
        </is>
      </c>
      <c r="D28" s="7" t="inlineStr">
        <is>
          <t>Nguyễn Hải Minh</t>
        </is>
      </c>
      <c r="E28" s="7" t="inlineStr">
        <is>
          <t>Not Started</t>
        </is>
      </c>
      <c r="F28" s="7" t="inlineStr">
        <is>
          <t>P0</t>
        </is>
      </c>
      <c r="G28" s="127">
        <f>IF(OR($H$6="",'Chi tiet HK1'!E26="",'Chi tiet HK1'!F26="",'Chi tiet HK1'!F26&lt;'Chi tiet HK1'!E26),"",IF('Chi tiet HK1'!D26="Mốc",$H$6+'Chi tiet HK1'!F26*7-1,$H$6+('Chi tiet HK1'!E26-1)*7))</f>
        <v/>
      </c>
      <c r="H28" s="127">
        <f>IF(OR($H$6="",'Chi tiet HK1'!E26="",'Chi tiet HK1'!F26="",'Chi tiet HK1'!F26&lt;'Chi tiet HK1'!E26),"",$H$6+'Chi tiet HK1'!F26*7-1)</f>
        <v/>
      </c>
      <c r="I28" s="128">
        <f>IF(OR(G28="",H28="",H28&lt;G28),"",H28-G28+1)</f>
        <v/>
      </c>
      <c r="J28" s="15" t="n"/>
      <c r="K28" s="129">
        <f>IF(OR($G28="",$H28="",$H28&lt;$G28),"",IF(AND(K$9&lt;=$H28,K$9+6&gt;=$G28),1,""))</f>
        <v/>
      </c>
      <c r="L28" s="130">
        <f>IF(OR($G28="",$H28="",$H28&lt;$G28),"",IF(AND(L$9&lt;=$H28,L$9+6&gt;=$G28),1,""))</f>
        <v/>
      </c>
      <c r="M28" s="129">
        <f>IF(OR($G28="",$H28="",$H28&lt;$G28),"",IF(AND(M$9&lt;=$H28,M$9+6&gt;=$G28),1,""))</f>
        <v/>
      </c>
      <c r="N28" s="130">
        <f>IF(OR($G28="",$H28="",$H28&lt;$G28),"",IF(AND(N$9&lt;=$H28,N$9+6&gt;=$G28),1,""))</f>
        <v/>
      </c>
      <c r="O28" s="129">
        <f>IF(OR($G28="",$H28="",$H28&lt;$G28),"",IF(AND(O$9&lt;=$H28,O$9+6&gt;=$G28),1,""))</f>
        <v/>
      </c>
      <c r="P28" s="130">
        <f>IF(OR($G28="",$H28="",$H28&lt;$G28),"",IF(AND(P$9&lt;=$H28,P$9+6&gt;=$G28),1,""))</f>
        <v/>
      </c>
      <c r="Q28" s="129">
        <f>IF(OR($G28="",$H28="",$H28&lt;$G28),"",IF(AND(Q$9&lt;=$H28,Q$9+6&gt;=$G28),1,""))</f>
        <v/>
      </c>
      <c r="R28" s="130">
        <f>IF(OR($G28="",$H28="",$H28&lt;$G28),"",IF(AND(R$9&lt;=$H28,R$9+6&gt;=$G28),1,""))</f>
        <v/>
      </c>
      <c r="S28" s="129">
        <f>IF(OR($G28="",$H28="",$H28&lt;$G28),"",IF(AND(S$9&lt;=$H28,S$9+6&gt;=$G28),1,""))</f>
        <v/>
      </c>
      <c r="T28" s="130">
        <f>IF(OR($G28="",$H28="",$H28&lt;$G28),"",IF(AND(T$9&lt;=$H28,T$9+6&gt;=$G28),1,""))</f>
        <v/>
      </c>
      <c r="U28" s="129">
        <f>IF(OR($G28="",$H28="",$H28&lt;$G28),"",IF(AND(U$9&lt;=$H28,U$9+6&gt;=$G28),1,""))</f>
        <v/>
      </c>
      <c r="V28" s="130">
        <f>IF(OR($G28="",$H28="",$H28&lt;$G28),"",IF(AND(V$9&lt;=$H28,V$9+6&gt;=$G28),1,""))</f>
        <v/>
      </c>
      <c r="W28" s="129">
        <f>IF(OR($G28="",$H28="",$H28&lt;$G28),"",IF(AND(W$9&lt;=$H28,W$9+6&gt;=$G28),1,""))</f>
        <v/>
      </c>
      <c r="X28" s="130">
        <f>IF(OR($G28="",$H28="",$H28&lt;$G28),"",IF(AND(X$9&lt;=$H28,X$9+6&gt;=$G28),1,""))</f>
        <v/>
      </c>
      <c r="Y28" s="129">
        <f>IF(OR($G28="",$H28="",$H28&lt;$G28),"",IF(AND(Y$9&lt;=$H28,Y$9+6&gt;=$G28),1,""))</f>
        <v/>
      </c>
      <c r="Z28" s="130">
        <f>IF(OR($G28="",$H28="",$H28&lt;$G28),"",IF(AND(Z$9&lt;=$H28,Z$9+6&gt;=$G28),1,""))</f>
        <v/>
      </c>
      <c r="AA28" s="129">
        <f>IF(OR($G28="",$H28="",$H28&lt;$G28),"",IF(AND(AA$9&lt;=$H28,AA$9+6&gt;=$G28),1,""))</f>
        <v/>
      </c>
      <c r="AB28" s="130">
        <f>IF(OR($G28="",$H28="",$H28&lt;$G28),"",IF(AND(AB$9&lt;=$H28,AB$9+6&gt;=$G28),1,""))</f>
        <v/>
      </c>
      <c r="AC28" s="129">
        <f>IF(OR($G28="",$H28="",$H28&lt;$G28),"",IF(AND(AC$9&lt;=$H28,AC$9+6&gt;=$G28),1,""))</f>
        <v/>
      </c>
      <c r="AD28" s="130">
        <f>IF(OR($G28="",$H28="",$H28&lt;$G28),"",IF(AND(AD$9&lt;=$H28,AD$9+6&gt;=$G28),1,""))</f>
        <v/>
      </c>
    </row>
    <row r="29" ht="23" customHeight="1">
      <c r="B29" s="6" t="inlineStr">
        <is>
          <t>Đồ án 1B</t>
        </is>
      </c>
      <c r="C29" s="50" t="inlineStr">
        <is>
          <t>P10 Build và chạy FPGA</t>
        </is>
      </c>
      <c r="D29" s="8" t="inlineStr">
        <is>
          <t>Nguyễn Hải Minh</t>
        </is>
      </c>
      <c r="E29" s="8" t="inlineStr">
        <is>
          <t>Not Started</t>
        </is>
      </c>
      <c r="F29" s="8" t="inlineStr">
        <is>
          <t>P0</t>
        </is>
      </c>
      <c r="G29" s="131">
        <f>IF(OR($H$6="",'Chi tiet HK1'!E27="",'Chi tiet HK1'!F27="",'Chi tiet HK1'!F27&lt;'Chi tiet HK1'!E27),"",IF('Chi tiet HK1'!D27="Mốc",$H$6+'Chi tiet HK1'!F27*7-1,$H$6+('Chi tiet HK1'!E27-1)*7))</f>
        <v/>
      </c>
      <c r="H29" s="131">
        <f>IF(OR($H$6="",'Chi tiet HK1'!E27="",'Chi tiet HK1'!F27="",'Chi tiet HK1'!F27&lt;'Chi tiet HK1'!E27),"",$H$6+'Chi tiet HK1'!F27*7-1)</f>
        <v/>
      </c>
      <c r="I29" s="128">
        <f>IF(OR(G29="",H29="",H29&lt;G29),"",H29-G29+1)</f>
        <v/>
      </c>
      <c r="J29" s="15" t="n"/>
      <c r="K29" s="129">
        <f>IF(OR($G29="",$H29="",$H29&lt;$G29),"",IF(AND(K$9&lt;=$H29,K$9+6&gt;=$G29),1,""))</f>
        <v/>
      </c>
      <c r="L29" s="130">
        <f>IF(OR($G29="",$H29="",$H29&lt;$G29),"",IF(AND(L$9&lt;=$H29,L$9+6&gt;=$G29),1,""))</f>
        <v/>
      </c>
      <c r="M29" s="129">
        <f>IF(OR($G29="",$H29="",$H29&lt;$G29),"",IF(AND(M$9&lt;=$H29,M$9+6&gt;=$G29),1,""))</f>
        <v/>
      </c>
      <c r="N29" s="130">
        <f>IF(OR($G29="",$H29="",$H29&lt;$G29),"",IF(AND(N$9&lt;=$H29,N$9+6&gt;=$G29),1,""))</f>
        <v/>
      </c>
      <c r="O29" s="129">
        <f>IF(OR($G29="",$H29="",$H29&lt;$G29),"",IF(AND(O$9&lt;=$H29,O$9+6&gt;=$G29),1,""))</f>
        <v/>
      </c>
      <c r="P29" s="130">
        <f>IF(OR($G29="",$H29="",$H29&lt;$G29),"",IF(AND(P$9&lt;=$H29,P$9+6&gt;=$G29),1,""))</f>
        <v/>
      </c>
      <c r="Q29" s="129">
        <f>IF(OR($G29="",$H29="",$H29&lt;$G29),"",IF(AND(Q$9&lt;=$H29,Q$9+6&gt;=$G29),1,""))</f>
        <v/>
      </c>
      <c r="R29" s="130">
        <f>IF(OR($G29="",$H29="",$H29&lt;$G29),"",IF(AND(R$9&lt;=$H29,R$9+6&gt;=$G29),1,""))</f>
        <v/>
      </c>
      <c r="S29" s="129">
        <f>IF(OR($G29="",$H29="",$H29&lt;$G29),"",IF(AND(S$9&lt;=$H29,S$9+6&gt;=$G29),1,""))</f>
        <v/>
      </c>
      <c r="T29" s="130">
        <f>IF(OR($G29="",$H29="",$H29&lt;$G29),"",IF(AND(T$9&lt;=$H29,T$9+6&gt;=$G29),1,""))</f>
        <v/>
      </c>
      <c r="U29" s="129">
        <f>IF(OR($G29="",$H29="",$H29&lt;$G29),"",IF(AND(U$9&lt;=$H29,U$9+6&gt;=$G29),1,""))</f>
        <v/>
      </c>
      <c r="V29" s="130">
        <f>IF(OR($G29="",$H29="",$H29&lt;$G29),"",IF(AND(V$9&lt;=$H29,V$9+6&gt;=$G29),1,""))</f>
        <v/>
      </c>
      <c r="W29" s="129">
        <f>IF(OR($G29="",$H29="",$H29&lt;$G29),"",IF(AND(W$9&lt;=$H29,W$9+6&gt;=$G29),1,""))</f>
        <v/>
      </c>
      <c r="X29" s="130">
        <f>IF(OR($G29="",$H29="",$H29&lt;$G29),"",IF(AND(X$9&lt;=$H29,X$9+6&gt;=$G29),1,""))</f>
        <v/>
      </c>
      <c r="Y29" s="129">
        <f>IF(OR($G29="",$H29="",$H29&lt;$G29),"",IF(AND(Y$9&lt;=$H29,Y$9+6&gt;=$G29),1,""))</f>
        <v/>
      </c>
      <c r="Z29" s="130">
        <f>IF(OR($G29="",$H29="",$H29&lt;$G29),"",IF(AND(Z$9&lt;=$H29,Z$9+6&gt;=$G29),1,""))</f>
        <v/>
      </c>
      <c r="AA29" s="129">
        <f>IF(OR($G29="",$H29="",$H29&lt;$G29),"",IF(AND(AA$9&lt;=$H29,AA$9+6&gt;=$G29),1,""))</f>
        <v/>
      </c>
      <c r="AB29" s="130">
        <f>IF(OR($G29="",$H29="",$H29&lt;$G29),"",IF(AND(AB$9&lt;=$H29,AB$9+6&gt;=$G29),1,""))</f>
        <v/>
      </c>
      <c r="AC29" s="129">
        <f>IF(OR($G29="",$H29="",$H29&lt;$G29),"",IF(AND(AC$9&lt;=$H29,AC$9+6&gt;=$G29),1,""))</f>
        <v/>
      </c>
      <c r="AD29" s="130">
        <f>IF(OR($G29="",$H29="",$H29&lt;$G29),"",IF(AND(AD$9&lt;=$H29,AD$9+6&gt;=$G29),1,""))</f>
        <v/>
      </c>
    </row>
    <row r="30" ht="23" customHeight="1">
      <c r="B30" s="5" t="inlineStr">
        <is>
          <t>Đồ án 1B</t>
        </is>
      </c>
      <c r="C30" s="49" t="inlineStr">
        <is>
          <t>P11 Reference và test vectors</t>
        </is>
      </c>
      <c r="D30" s="7" t="inlineStr">
        <is>
          <t>Nguyễn Hải Minh</t>
        </is>
      </c>
      <c r="E30" s="7" t="inlineStr">
        <is>
          <t>Not Started</t>
        </is>
      </c>
      <c r="F30" s="7" t="inlineStr">
        <is>
          <t>P0</t>
        </is>
      </c>
      <c r="G30" s="127">
        <f>IF(OR($H$6="",'Chi tiet HK1'!E28="",'Chi tiet HK1'!F28="",'Chi tiet HK1'!F28&lt;'Chi tiet HK1'!E28),"",IF('Chi tiet HK1'!D28="Mốc",$H$6+'Chi tiet HK1'!F28*7-1,$H$6+('Chi tiet HK1'!E28-1)*7))</f>
        <v/>
      </c>
      <c r="H30" s="127">
        <f>IF(OR($H$6="",'Chi tiet HK1'!E28="",'Chi tiet HK1'!F28="",'Chi tiet HK1'!F28&lt;'Chi tiet HK1'!E28),"",$H$6+'Chi tiet HK1'!F28*7-1)</f>
        <v/>
      </c>
      <c r="I30" s="128">
        <f>IF(OR(G30="",H30="",H30&lt;G30),"",H30-G30+1)</f>
        <v/>
      </c>
      <c r="J30" s="15" t="n"/>
      <c r="K30" s="129">
        <f>IF(OR($G30="",$H30="",$H30&lt;$G30),"",IF(AND(K$9&lt;=$H30,K$9+6&gt;=$G30),1,""))</f>
        <v/>
      </c>
      <c r="L30" s="130">
        <f>IF(OR($G30="",$H30="",$H30&lt;$G30),"",IF(AND(L$9&lt;=$H30,L$9+6&gt;=$G30),1,""))</f>
        <v/>
      </c>
      <c r="M30" s="129">
        <f>IF(OR($G30="",$H30="",$H30&lt;$G30),"",IF(AND(M$9&lt;=$H30,M$9+6&gt;=$G30),1,""))</f>
        <v/>
      </c>
      <c r="N30" s="130">
        <f>IF(OR($G30="",$H30="",$H30&lt;$G30),"",IF(AND(N$9&lt;=$H30,N$9+6&gt;=$G30),1,""))</f>
        <v/>
      </c>
      <c r="O30" s="129">
        <f>IF(OR($G30="",$H30="",$H30&lt;$G30),"",IF(AND(O$9&lt;=$H30,O$9+6&gt;=$G30),1,""))</f>
        <v/>
      </c>
      <c r="P30" s="130">
        <f>IF(OR($G30="",$H30="",$H30&lt;$G30),"",IF(AND(P$9&lt;=$H30,P$9+6&gt;=$G30),1,""))</f>
        <v/>
      </c>
      <c r="Q30" s="129">
        <f>IF(OR($G30="",$H30="",$H30&lt;$G30),"",IF(AND(Q$9&lt;=$H30,Q$9+6&gt;=$G30),1,""))</f>
        <v/>
      </c>
      <c r="R30" s="130">
        <f>IF(OR($G30="",$H30="",$H30&lt;$G30),"",IF(AND(R$9&lt;=$H30,R$9+6&gt;=$G30),1,""))</f>
        <v/>
      </c>
      <c r="S30" s="129">
        <f>IF(OR($G30="",$H30="",$H30&lt;$G30),"",IF(AND(S$9&lt;=$H30,S$9+6&gt;=$G30),1,""))</f>
        <v/>
      </c>
      <c r="T30" s="130">
        <f>IF(OR($G30="",$H30="",$H30&lt;$G30),"",IF(AND(T$9&lt;=$H30,T$9+6&gt;=$G30),1,""))</f>
        <v/>
      </c>
      <c r="U30" s="129">
        <f>IF(OR($G30="",$H30="",$H30&lt;$G30),"",IF(AND(U$9&lt;=$H30,U$9+6&gt;=$G30),1,""))</f>
        <v/>
      </c>
      <c r="V30" s="130">
        <f>IF(OR($G30="",$H30="",$H30&lt;$G30),"",IF(AND(V$9&lt;=$H30,V$9+6&gt;=$G30),1,""))</f>
        <v/>
      </c>
      <c r="W30" s="129">
        <f>IF(OR($G30="",$H30="",$H30&lt;$G30),"",IF(AND(W$9&lt;=$H30,W$9+6&gt;=$G30),1,""))</f>
        <v/>
      </c>
      <c r="X30" s="130">
        <f>IF(OR($G30="",$H30="",$H30&lt;$G30),"",IF(AND(X$9&lt;=$H30,X$9+6&gt;=$G30),1,""))</f>
        <v/>
      </c>
      <c r="Y30" s="129">
        <f>IF(OR($G30="",$H30="",$H30&lt;$G30),"",IF(AND(Y$9&lt;=$H30,Y$9+6&gt;=$G30),1,""))</f>
        <v/>
      </c>
      <c r="Z30" s="130">
        <f>IF(OR($G30="",$H30="",$H30&lt;$G30),"",IF(AND(Z$9&lt;=$H30,Z$9+6&gt;=$G30),1,""))</f>
        <v/>
      </c>
      <c r="AA30" s="129">
        <f>IF(OR($G30="",$H30="",$H30&lt;$G30),"",IF(AND(AA$9&lt;=$H30,AA$9+6&gt;=$G30),1,""))</f>
        <v/>
      </c>
      <c r="AB30" s="130">
        <f>IF(OR($G30="",$H30="",$H30&lt;$G30),"",IF(AND(AB$9&lt;=$H30,AB$9+6&gt;=$G30),1,""))</f>
        <v/>
      </c>
      <c r="AC30" s="129">
        <f>IF(OR($G30="",$H30="",$H30&lt;$G30),"",IF(AND(AC$9&lt;=$H30,AC$9+6&gt;=$G30),1,""))</f>
        <v/>
      </c>
      <c r="AD30" s="130">
        <f>IF(OR($G30="",$H30="",$H30&lt;$G30),"",IF(AND(AD$9&lt;=$H30,AD$9+6&gt;=$G30),1,""))</f>
        <v/>
      </c>
    </row>
    <row r="31" ht="23" customHeight="1">
      <c r="B31" s="6" t="inlineStr">
        <is>
          <t>Đồ án 1B</t>
        </is>
      </c>
      <c r="C31" s="50" t="inlineStr">
        <is>
          <t>P12 Dot-product trên baseline</t>
        </is>
      </c>
      <c r="D31" s="8" t="inlineStr">
        <is>
          <t>Nguyễn Hải Minh</t>
        </is>
      </c>
      <c r="E31" s="8" t="inlineStr">
        <is>
          <t>Not Started</t>
        </is>
      </c>
      <c r="F31" s="8" t="inlineStr">
        <is>
          <t>P0</t>
        </is>
      </c>
      <c r="G31" s="131">
        <f>IF(OR($H$6="",'Chi tiet HK1'!E29="",'Chi tiet HK1'!F29="",'Chi tiet HK1'!F29&lt;'Chi tiet HK1'!E29),"",IF('Chi tiet HK1'!D29="Mốc",$H$6+'Chi tiet HK1'!F29*7-1,$H$6+('Chi tiet HK1'!E29-1)*7))</f>
        <v/>
      </c>
      <c r="H31" s="131">
        <f>IF(OR($H$6="",'Chi tiet HK1'!E29="",'Chi tiet HK1'!F29="",'Chi tiet HK1'!F29&lt;'Chi tiet HK1'!E29),"",$H$6+'Chi tiet HK1'!F29*7-1)</f>
        <v/>
      </c>
      <c r="I31" s="128">
        <f>IF(OR(G31="",H31="",H31&lt;G31),"",H31-G31+1)</f>
        <v/>
      </c>
      <c r="J31" s="15" t="n"/>
      <c r="K31" s="129">
        <f>IF(OR($G31="",$H31="",$H31&lt;$G31),"",IF(AND(K$9&lt;=$H31,K$9+6&gt;=$G31),1,""))</f>
        <v/>
      </c>
      <c r="L31" s="130">
        <f>IF(OR($G31="",$H31="",$H31&lt;$G31),"",IF(AND(L$9&lt;=$H31,L$9+6&gt;=$G31),1,""))</f>
        <v/>
      </c>
      <c r="M31" s="129">
        <f>IF(OR($G31="",$H31="",$H31&lt;$G31),"",IF(AND(M$9&lt;=$H31,M$9+6&gt;=$G31),1,""))</f>
        <v/>
      </c>
      <c r="N31" s="130">
        <f>IF(OR($G31="",$H31="",$H31&lt;$G31),"",IF(AND(N$9&lt;=$H31,N$9+6&gt;=$G31),1,""))</f>
        <v/>
      </c>
      <c r="O31" s="129">
        <f>IF(OR($G31="",$H31="",$H31&lt;$G31),"",IF(AND(O$9&lt;=$H31,O$9+6&gt;=$G31),1,""))</f>
        <v/>
      </c>
      <c r="P31" s="130">
        <f>IF(OR($G31="",$H31="",$H31&lt;$G31),"",IF(AND(P$9&lt;=$H31,P$9+6&gt;=$G31),1,""))</f>
        <v/>
      </c>
      <c r="Q31" s="129">
        <f>IF(OR($G31="",$H31="",$H31&lt;$G31),"",IF(AND(Q$9&lt;=$H31,Q$9+6&gt;=$G31),1,""))</f>
        <v/>
      </c>
      <c r="R31" s="130">
        <f>IF(OR($G31="",$H31="",$H31&lt;$G31),"",IF(AND(R$9&lt;=$H31,R$9+6&gt;=$G31),1,""))</f>
        <v/>
      </c>
      <c r="S31" s="129">
        <f>IF(OR($G31="",$H31="",$H31&lt;$G31),"",IF(AND(S$9&lt;=$H31,S$9+6&gt;=$G31),1,""))</f>
        <v/>
      </c>
      <c r="T31" s="130">
        <f>IF(OR($G31="",$H31="",$H31&lt;$G31),"",IF(AND(T$9&lt;=$H31,T$9+6&gt;=$G31),1,""))</f>
        <v/>
      </c>
      <c r="U31" s="129">
        <f>IF(OR($G31="",$H31="",$H31&lt;$G31),"",IF(AND(U$9&lt;=$H31,U$9+6&gt;=$G31),1,""))</f>
        <v/>
      </c>
      <c r="V31" s="130">
        <f>IF(OR($G31="",$H31="",$H31&lt;$G31),"",IF(AND(V$9&lt;=$H31,V$9+6&gt;=$G31),1,""))</f>
        <v/>
      </c>
      <c r="W31" s="129">
        <f>IF(OR($G31="",$H31="",$H31&lt;$G31),"",IF(AND(W$9&lt;=$H31,W$9+6&gt;=$G31),1,""))</f>
        <v/>
      </c>
      <c r="X31" s="130">
        <f>IF(OR($G31="",$H31="",$H31&lt;$G31),"",IF(AND(X$9&lt;=$H31,X$9+6&gt;=$G31),1,""))</f>
        <v/>
      </c>
      <c r="Y31" s="129">
        <f>IF(OR($G31="",$H31="",$H31&lt;$G31),"",IF(AND(Y$9&lt;=$H31,Y$9+6&gt;=$G31),1,""))</f>
        <v/>
      </c>
      <c r="Z31" s="130">
        <f>IF(OR($G31="",$H31="",$H31&lt;$G31),"",IF(AND(Z$9&lt;=$H31,Z$9+6&gt;=$G31),1,""))</f>
        <v/>
      </c>
      <c r="AA31" s="129">
        <f>IF(OR($G31="",$H31="",$H31&lt;$G31),"",IF(AND(AA$9&lt;=$H31,AA$9+6&gt;=$G31),1,""))</f>
        <v/>
      </c>
      <c r="AB31" s="130">
        <f>IF(OR($G31="",$H31="",$H31&lt;$G31),"",IF(AND(AB$9&lt;=$H31,AB$9+6&gt;=$G31),1,""))</f>
        <v/>
      </c>
      <c r="AC31" s="129">
        <f>IF(OR($G31="",$H31="",$H31&lt;$G31),"",IF(AND(AC$9&lt;=$H31,AC$9+6&gt;=$G31),1,""))</f>
        <v/>
      </c>
      <c r="AD31" s="130">
        <f>IF(OR($G31="",$H31="",$H31&lt;$G31),"",IF(AND(AD$9&lt;=$H31,AD$9+6&gt;=$G31),1,""))</f>
        <v/>
      </c>
    </row>
    <row r="32" ht="23" customHeight="1">
      <c r="B32" s="5" t="inlineStr">
        <is>
          <t>Đồ án 1B</t>
        </is>
      </c>
      <c r="C32" s="49" t="inlineStr">
        <is>
          <t>P13 Complex multiply baseline</t>
        </is>
      </c>
      <c r="D32" s="7" t="inlineStr">
        <is>
          <t>Nguyễn Hải Minh</t>
        </is>
      </c>
      <c r="E32" s="7" t="inlineStr">
        <is>
          <t>Not Started</t>
        </is>
      </c>
      <c r="F32" s="7" t="inlineStr">
        <is>
          <t>P0</t>
        </is>
      </c>
      <c r="G32" s="127">
        <f>IF(OR($H$6="",'Chi tiet HK1'!E30="",'Chi tiet HK1'!F30="",'Chi tiet HK1'!F30&lt;'Chi tiet HK1'!E30),"",IF('Chi tiet HK1'!D30="Mốc",$H$6+'Chi tiet HK1'!F30*7-1,$H$6+('Chi tiet HK1'!E30-1)*7))</f>
        <v/>
      </c>
      <c r="H32" s="127">
        <f>IF(OR($H$6="",'Chi tiet HK1'!E30="",'Chi tiet HK1'!F30="",'Chi tiet HK1'!F30&lt;'Chi tiet HK1'!E30),"",$H$6+'Chi tiet HK1'!F30*7-1)</f>
        <v/>
      </c>
      <c r="I32" s="128">
        <f>IF(OR(G32="",H32="",H32&lt;G32),"",H32-G32+1)</f>
        <v/>
      </c>
      <c r="J32" s="15" t="n"/>
      <c r="K32" s="129">
        <f>IF(OR($G32="",$H32="",$H32&lt;$G32),"",IF(AND(K$9&lt;=$H32,K$9+6&gt;=$G32),1,""))</f>
        <v/>
      </c>
      <c r="L32" s="130">
        <f>IF(OR($G32="",$H32="",$H32&lt;$G32),"",IF(AND(L$9&lt;=$H32,L$9+6&gt;=$G32),1,""))</f>
        <v/>
      </c>
      <c r="M32" s="129">
        <f>IF(OR($G32="",$H32="",$H32&lt;$G32),"",IF(AND(M$9&lt;=$H32,M$9+6&gt;=$G32),1,""))</f>
        <v/>
      </c>
      <c r="N32" s="130">
        <f>IF(OR($G32="",$H32="",$H32&lt;$G32),"",IF(AND(N$9&lt;=$H32,N$9+6&gt;=$G32),1,""))</f>
        <v/>
      </c>
      <c r="O32" s="129">
        <f>IF(OR($G32="",$H32="",$H32&lt;$G32),"",IF(AND(O$9&lt;=$H32,O$9+6&gt;=$G32),1,""))</f>
        <v/>
      </c>
      <c r="P32" s="130">
        <f>IF(OR($G32="",$H32="",$H32&lt;$G32),"",IF(AND(P$9&lt;=$H32,P$9+6&gt;=$G32),1,""))</f>
        <v/>
      </c>
      <c r="Q32" s="129">
        <f>IF(OR($G32="",$H32="",$H32&lt;$G32),"",IF(AND(Q$9&lt;=$H32,Q$9+6&gt;=$G32),1,""))</f>
        <v/>
      </c>
      <c r="R32" s="130">
        <f>IF(OR($G32="",$H32="",$H32&lt;$G32),"",IF(AND(R$9&lt;=$H32,R$9+6&gt;=$G32),1,""))</f>
        <v/>
      </c>
      <c r="S32" s="129">
        <f>IF(OR($G32="",$H32="",$H32&lt;$G32),"",IF(AND(S$9&lt;=$H32,S$9+6&gt;=$G32),1,""))</f>
        <v/>
      </c>
      <c r="T32" s="130">
        <f>IF(OR($G32="",$H32="",$H32&lt;$G32),"",IF(AND(T$9&lt;=$H32,T$9+6&gt;=$G32),1,""))</f>
        <v/>
      </c>
      <c r="U32" s="129">
        <f>IF(OR($G32="",$H32="",$H32&lt;$G32),"",IF(AND(U$9&lt;=$H32,U$9+6&gt;=$G32),1,""))</f>
        <v/>
      </c>
      <c r="V32" s="130">
        <f>IF(OR($G32="",$H32="",$H32&lt;$G32),"",IF(AND(V$9&lt;=$H32,V$9+6&gt;=$G32),1,""))</f>
        <v/>
      </c>
      <c r="W32" s="129">
        <f>IF(OR($G32="",$H32="",$H32&lt;$G32),"",IF(AND(W$9&lt;=$H32,W$9+6&gt;=$G32),1,""))</f>
        <v/>
      </c>
      <c r="X32" s="130">
        <f>IF(OR($G32="",$H32="",$H32&lt;$G32),"",IF(AND(X$9&lt;=$H32,X$9+6&gt;=$G32),1,""))</f>
        <v/>
      </c>
      <c r="Y32" s="129">
        <f>IF(OR($G32="",$H32="",$H32&lt;$G32),"",IF(AND(Y$9&lt;=$H32,Y$9+6&gt;=$G32),1,""))</f>
        <v/>
      </c>
      <c r="Z32" s="130">
        <f>IF(OR($G32="",$H32="",$H32&lt;$G32),"",IF(AND(Z$9&lt;=$H32,Z$9+6&gt;=$G32),1,""))</f>
        <v/>
      </c>
      <c r="AA32" s="129">
        <f>IF(OR($G32="",$H32="",$H32&lt;$G32),"",IF(AND(AA$9&lt;=$H32,AA$9+6&gt;=$G32),1,""))</f>
        <v/>
      </c>
      <c r="AB32" s="130">
        <f>IF(OR($G32="",$H32="",$H32&lt;$G32),"",IF(AND(AB$9&lt;=$H32,AB$9+6&gt;=$G32),1,""))</f>
        <v/>
      </c>
      <c r="AC32" s="129">
        <f>IF(OR($G32="",$H32="",$H32&lt;$G32),"",IF(AND(AC$9&lt;=$H32,AC$9+6&gt;=$G32),1,""))</f>
        <v/>
      </c>
      <c r="AD32" s="130">
        <f>IF(OR($G32="",$H32="",$H32&lt;$G32),"",IF(AND(AD$9&lt;=$H32,AD$9+6&gt;=$G32),1,""))</f>
        <v/>
      </c>
    </row>
    <row r="33" ht="23" customHeight="1">
      <c r="B33" s="6" t="inlineStr">
        <is>
          <t>Đồ án 1B</t>
        </is>
      </c>
      <c r="C33" s="50" t="inlineStr">
        <is>
          <t>P14 Profiling và đọc báo sâu</t>
        </is>
      </c>
      <c r="D33" s="8" t="inlineStr">
        <is>
          <t>Nguyễn Hải Minh</t>
        </is>
      </c>
      <c r="E33" s="8" t="inlineStr">
        <is>
          <t>Not Started</t>
        </is>
      </c>
      <c r="F33" s="8" t="inlineStr">
        <is>
          <t>P1</t>
        </is>
      </c>
      <c r="G33" s="131">
        <f>IF(OR($H$6="",'Chi tiet HK1'!E31="",'Chi tiet HK1'!F31="",'Chi tiet HK1'!F31&lt;'Chi tiet HK1'!E31),"",IF('Chi tiet HK1'!D31="Mốc",$H$6+'Chi tiet HK1'!F31*7-1,$H$6+('Chi tiet HK1'!E31-1)*7))</f>
        <v/>
      </c>
      <c r="H33" s="131">
        <f>IF(OR($H$6="",'Chi tiet HK1'!E31="",'Chi tiet HK1'!F31="",'Chi tiet HK1'!F31&lt;'Chi tiet HK1'!E31),"",$H$6+'Chi tiet HK1'!F31*7-1)</f>
        <v/>
      </c>
      <c r="I33" s="128">
        <f>IF(OR(G33="",H33="",H33&lt;G33),"",H33-G33+1)</f>
        <v/>
      </c>
      <c r="J33" s="15" t="n"/>
      <c r="K33" s="129">
        <f>IF(OR($G33="",$H33="",$H33&lt;$G33),"",IF(AND(K$9&lt;=$H33,K$9+6&gt;=$G33),1,""))</f>
        <v/>
      </c>
      <c r="L33" s="130">
        <f>IF(OR($G33="",$H33="",$H33&lt;$G33),"",IF(AND(L$9&lt;=$H33,L$9+6&gt;=$G33),1,""))</f>
        <v/>
      </c>
      <c r="M33" s="129">
        <f>IF(OR($G33="",$H33="",$H33&lt;$G33),"",IF(AND(M$9&lt;=$H33,M$9+6&gt;=$G33),1,""))</f>
        <v/>
      </c>
      <c r="N33" s="130">
        <f>IF(OR($G33="",$H33="",$H33&lt;$G33),"",IF(AND(N$9&lt;=$H33,N$9+6&gt;=$G33),1,""))</f>
        <v/>
      </c>
      <c r="O33" s="129">
        <f>IF(OR($G33="",$H33="",$H33&lt;$G33),"",IF(AND(O$9&lt;=$H33,O$9+6&gt;=$G33),1,""))</f>
        <v/>
      </c>
      <c r="P33" s="130">
        <f>IF(OR($G33="",$H33="",$H33&lt;$G33),"",IF(AND(P$9&lt;=$H33,P$9+6&gt;=$G33),1,""))</f>
        <v/>
      </c>
      <c r="Q33" s="129">
        <f>IF(OR($G33="",$H33="",$H33&lt;$G33),"",IF(AND(Q$9&lt;=$H33,Q$9+6&gt;=$G33),1,""))</f>
        <v/>
      </c>
      <c r="R33" s="130">
        <f>IF(OR($G33="",$H33="",$H33&lt;$G33),"",IF(AND(R$9&lt;=$H33,R$9+6&gt;=$G33),1,""))</f>
        <v/>
      </c>
      <c r="S33" s="129">
        <f>IF(OR($G33="",$H33="",$H33&lt;$G33),"",IF(AND(S$9&lt;=$H33,S$9+6&gt;=$G33),1,""))</f>
        <v/>
      </c>
      <c r="T33" s="130">
        <f>IF(OR($G33="",$H33="",$H33&lt;$G33),"",IF(AND(T$9&lt;=$H33,T$9+6&gt;=$G33),1,""))</f>
        <v/>
      </c>
      <c r="U33" s="129">
        <f>IF(OR($G33="",$H33="",$H33&lt;$G33),"",IF(AND(U$9&lt;=$H33,U$9+6&gt;=$G33),1,""))</f>
        <v/>
      </c>
      <c r="V33" s="130">
        <f>IF(OR($G33="",$H33="",$H33&lt;$G33),"",IF(AND(V$9&lt;=$H33,V$9+6&gt;=$G33),1,""))</f>
        <v/>
      </c>
      <c r="W33" s="129">
        <f>IF(OR($G33="",$H33="",$H33&lt;$G33),"",IF(AND(W$9&lt;=$H33,W$9+6&gt;=$G33),1,""))</f>
        <v/>
      </c>
      <c r="X33" s="130">
        <f>IF(OR($G33="",$H33="",$H33&lt;$G33),"",IF(AND(X$9&lt;=$H33,X$9+6&gt;=$G33),1,""))</f>
        <v/>
      </c>
      <c r="Y33" s="129">
        <f>IF(OR($G33="",$H33="",$H33&lt;$G33),"",IF(AND(Y$9&lt;=$H33,Y$9+6&gt;=$G33),1,""))</f>
        <v/>
      </c>
      <c r="Z33" s="130">
        <f>IF(OR($G33="",$H33="",$H33&lt;$G33),"",IF(AND(Z$9&lt;=$H33,Z$9+6&gt;=$G33),1,""))</f>
        <v/>
      </c>
      <c r="AA33" s="129">
        <f>IF(OR($G33="",$H33="",$H33&lt;$G33),"",IF(AND(AA$9&lt;=$H33,AA$9+6&gt;=$G33),1,""))</f>
        <v/>
      </c>
      <c r="AB33" s="130">
        <f>IF(OR($G33="",$H33="",$H33&lt;$G33),"",IF(AND(AB$9&lt;=$H33,AB$9+6&gt;=$G33),1,""))</f>
        <v/>
      </c>
      <c r="AC33" s="129">
        <f>IF(OR($G33="",$H33="",$H33&lt;$G33),"",IF(AND(AC$9&lt;=$H33,AC$9+6&gt;=$G33),1,""))</f>
        <v/>
      </c>
      <c r="AD33" s="130">
        <f>IF(OR($G33="",$H33="",$H33&lt;$G33),"",IF(AND(AD$9&lt;=$H33,AD$9+6&gt;=$G33),1,""))</f>
        <v/>
      </c>
    </row>
    <row r="34" ht="23" customHeight="1">
      <c r="B34" s="5" t="inlineStr">
        <is>
          <t>Đồ án 1B</t>
        </is>
      </c>
      <c r="C34" s="49" t="inlineStr">
        <is>
          <t>P15 Phác thảo custom instruction</t>
        </is>
      </c>
      <c r="D34" s="7" t="inlineStr">
        <is>
          <t>Nguyễn Hải Minh</t>
        </is>
      </c>
      <c r="E34" s="7" t="inlineStr">
        <is>
          <t>Not Started</t>
        </is>
      </c>
      <c r="F34" s="7" t="inlineStr">
        <is>
          <t>P1</t>
        </is>
      </c>
      <c r="G34" s="127">
        <f>IF(OR($H$6="",'Chi tiet HK1'!E32="",'Chi tiet HK1'!F32="",'Chi tiet HK1'!F32&lt;'Chi tiet HK1'!E32),"",IF('Chi tiet HK1'!D32="Mốc",$H$6+'Chi tiet HK1'!F32*7-1,$H$6+('Chi tiet HK1'!E32-1)*7))</f>
        <v/>
      </c>
      <c r="H34" s="127">
        <f>IF(OR($H$6="",'Chi tiet HK1'!E32="",'Chi tiet HK1'!F32="",'Chi tiet HK1'!F32&lt;'Chi tiet HK1'!E32),"",$H$6+'Chi tiet HK1'!F32*7-1)</f>
        <v/>
      </c>
      <c r="I34" s="128">
        <f>IF(OR(G34="",H34="",H34&lt;G34),"",H34-G34+1)</f>
        <v/>
      </c>
      <c r="J34" s="15" t="n"/>
      <c r="K34" s="129">
        <f>IF(OR($G34="",$H34="",$H34&lt;$G34),"",IF(AND(K$9&lt;=$H34,K$9+6&gt;=$G34),1,""))</f>
        <v/>
      </c>
      <c r="L34" s="130">
        <f>IF(OR($G34="",$H34="",$H34&lt;$G34),"",IF(AND(L$9&lt;=$H34,L$9+6&gt;=$G34),1,""))</f>
        <v/>
      </c>
      <c r="M34" s="129">
        <f>IF(OR($G34="",$H34="",$H34&lt;$G34),"",IF(AND(M$9&lt;=$H34,M$9+6&gt;=$G34),1,""))</f>
        <v/>
      </c>
      <c r="N34" s="130">
        <f>IF(OR($G34="",$H34="",$H34&lt;$G34),"",IF(AND(N$9&lt;=$H34,N$9+6&gt;=$G34),1,""))</f>
        <v/>
      </c>
      <c r="O34" s="129">
        <f>IF(OR($G34="",$H34="",$H34&lt;$G34),"",IF(AND(O$9&lt;=$H34,O$9+6&gt;=$G34),1,""))</f>
        <v/>
      </c>
      <c r="P34" s="130">
        <f>IF(OR($G34="",$H34="",$H34&lt;$G34),"",IF(AND(P$9&lt;=$H34,P$9+6&gt;=$G34),1,""))</f>
        <v/>
      </c>
      <c r="Q34" s="129">
        <f>IF(OR($G34="",$H34="",$H34&lt;$G34),"",IF(AND(Q$9&lt;=$H34,Q$9+6&gt;=$G34),1,""))</f>
        <v/>
      </c>
      <c r="R34" s="130">
        <f>IF(OR($G34="",$H34="",$H34&lt;$G34),"",IF(AND(R$9&lt;=$H34,R$9+6&gt;=$G34),1,""))</f>
        <v/>
      </c>
      <c r="S34" s="129">
        <f>IF(OR($G34="",$H34="",$H34&lt;$G34),"",IF(AND(S$9&lt;=$H34,S$9+6&gt;=$G34),1,""))</f>
        <v/>
      </c>
      <c r="T34" s="130">
        <f>IF(OR($G34="",$H34="",$H34&lt;$G34),"",IF(AND(T$9&lt;=$H34,T$9+6&gt;=$G34),1,""))</f>
        <v/>
      </c>
      <c r="U34" s="129">
        <f>IF(OR($G34="",$H34="",$H34&lt;$G34),"",IF(AND(U$9&lt;=$H34,U$9+6&gt;=$G34),1,""))</f>
        <v/>
      </c>
      <c r="V34" s="130">
        <f>IF(OR($G34="",$H34="",$H34&lt;$G34),"",IF(AND(V$9&lt;=$H34,V$9+6&gt;=$G34),1,""))</f>
        <v/>
      </c>
      <c r="W34" s="129">
        <f>IF(OR($G34="",$H34="",$H34&lt;$G34),"",IF(AND(W$9&lt;=$H34,W$9+6&gt;=$G34),1,""))</f>
        <v/>
      </c>
      <c r="X34" s="130">
        <f>IF(OR($G34="",$H34="",$H34&lt;$G34),"",IF(AND(X$9&lt;=$H34,X$9+6&gt;=$G34),1,""))</f>
        <v/>
      </c>
      <c r="Y34" s="129">
        <f>IF(OR($G34="",$H34="",$H34&lt;$G34),"",IF(AND(Y$9&lt;=$H34,Y$9+6&gt;=$G34),1,""))</f>
        <v/>
      </c>
      <c r="Z34" s="130">
        <f>IF(OR($G34="",$H34="",$H34&lt;$G34),"",IF(AND(Z$9&lt;=$H34,Z$9+6&gt;=$G34),1,""))</f>
        <v/>
      </c>
      <c r="AA34" s="129">
        <f>IF(OR($G34="",$H34="",$H34&lt;$G34),"",IF(AND(AA$9&lt;=$H34,AA$9+6&gt;=$G34),1,""))</f>
        <v/>
      </c>
      <c r="AB34" s="130">
        <f>IF(OR($G34="",$H34="",$H34&lt;$G34),"",IF(AND(AB$9&lt;=$H34,AB$9+6&gt;=$G34),1,""))</f>
        <v/>
      </c>
      <c r="AC34" s="129">
        <f>IF(OR($G34="",$H34="",$H34&lt;$G34),"",IF(AND(AC$9&lt;=$H34,AC$9+6&gt;=$G34),1,""))</f>
        <v/>
      </c>
      <c r="AD34" s="130">
        <f>IF(OR($G34="",$H34="",$H34&lt;$G34),"",IF(AND(AD$9&lt;=$H34,AD$9+6&gt;=$G34),1,""))</f>
        <v/>
      </c>
    </row>
    <row r="35" ht="23" customHeight="1">
      <c r="B35" s="6" t="inlineStr">
        <is>
          <t>Đồ án 1B</t>
        </is>
      </c>
      <c r="C35" s="50" t="inlineStr">
        <is>
          <t>P16 Tổng kết và kế hoạch HK2</t>
        </is>
      </c>
      <c r="D35" s="8" t="inlineStr">
        <is>
          <t>Nguyễn Hải Minh</t>
        </is>
      </c>
      <c r="E35" s="8" t="inlineStr">
        <is>
          <t>Not Started</t>
        </is>
      </c>
      <c r="F35" s="8" t="inlineStr">
        <is>
          <t>P0</t>
        </is>
      </c>
      <c r="G35" s="131">
        <f>IF(OR($H$6="",'Chi tiet HK1'!E33="",'Chi tiet HK1'!F33="",'Chi tiet HK1'!F33&lt;'Chi tiet HK1'!E33),"",IF('Chi tiet HK1'!D33="Mốc",$H$6+'Chi tiet HK1'!F33*7-1,$H$6+('Chi tiet HK1'!E33-1)*7))</f>
        <v/>
      </c>
      <c r="H35" s="131">
        <f>IF(OR($H$6="",'Chi tiet HK1'!E33="",'Chi tiet HK1'!F33="",'Chi tiet HK1'!F33&lt;'Chi tiet HK1'!E33),"",$H$6+'Chi tiet HK1'!F33*7-1)</f>
        <v/>
      </c>
      <c r="I35" s="128">
        <f>IF(OR(G35="",H35="",H35&lt;G35),"",H35-G35+1)</f>
        <v/>
      </c>
      <c r="J35" s="15" t="n"/>
      <c r="K35" s="129">
        <f>IF(OR($G35="",$H35="",$H35&lt;$G35),"",IF(AND(K$9&lt;=$H35,K$9+6&gt;=$G35),1,""))</f>
        <v/>
      </c>
      <c r="L35" s="130">
        <f>IF(OR($G35="",$H35="",$H35&lt;$G35),"",IF(AND(L$9&lt;=$H35,L$9+6&gt;=$G35),1,""))</f>
        <v/>
      </c>
      <c r="M35" s="129">
        <f>IF(OR($G35="",$H35="",$H35&lt;$G35),"",IF(AND(M$9&lt;=$H35,M$9+6&gt;=$G35),1,""))</f>
        <v/>
      </c>
      <c r="N35" s="130">
        <f>IF(OR($G35="",$H35="",$H35&lt;$G35),"",IF(AND(N$9&lt;=$H35,N$9+6&gt;=$G35),1,""))</f>
        <v/>
      </c>
      <c r="O35" s="129">
        <f>IF(OR($G35="",$H35="",$H35&lt;$G35),"",IF(AND(O$9&lt;=$H35,O$9+6&gt;=$G35),1,""))</f>
        <v/>
      </c>
      <c r="P35" s="130">
        <f>IF(OR($G35="",$H35="",$H35&lt;$G35),"",IF(AND(P$9&lt;=$H35,P$9+6&gt;=$G35),1,""))</f>
        <v/>
      </c>
      <c r="Q35" s="129">
        <f>IF(OR($G35="",$H35="",$H35&lt;$G35),"",IF(AND(Q$9&lt;=$H35,Q$9+6&gt;=$G35),1,""))</f>
        <v/>
      </c>
      <c r="R35" s="130">
        <f>IF(OR($G35="",$H35="",$H35&lt;$G35),"",IF(AND(R$9&lt;=$H35,R$9+6&gt;=$G35),1,""))</f>
        <v/>
      </c>
      <c r="S35" s="129">
        <f>IF(OR($G35="",$H35="",$H35&lt;$G35),"",IF(AND(S$9&lt;=$H35,S$9+6&gt;=$G35),1,""))</f>
        <v/>
      </c>
      <c r="T35" s="130">
        <f>IF(OR($G35="",$H35="",$H35&lt;$G35),"",IF(AND(T$9&lt;=$H35,T$9+6&gt;=$G35),1,""))</f>
        <v/>
      </c>
      <c r="U35" s="129">
        <f>IF(OR($G35="",$H35="",$H35&lt;$G35),"",IF(AND(U$9&lt;=$H35,U$9+6&gt;=$G35),1,""))</f>
        <v/>
      </c>
      <c r="V35" s="130">
        <f>IF(OR($G35="",$H35="",$H35&lt;$G35),"",IF(AND(V$9&lt;=$H35,V$9+6&gt;=$G35),1,""))</f>
        <v/>
      </c>
      <c r="W35" s="129">
        <f>IF(OR($G35="",$H35="",$H35&lt;$G35),"",IF(AND(W$9&lt;=$H35,W$9+6&gt;=$G35),1,""))</f>
        <v/>
      </c>
      <c r="X35" s="130">
        <f>IF(OR($G35="",$H35="",$H35&lt;$G35),"",IF(AND(X$9&lt;=$H35,X$9+6&gt;=$G35),1,""))</f>
        <v/>
      </c>
      <c r="Y35" s="129">
        <f>IF(OR($G35="",$H35="",$H35&lt;$G35),"",IF(AND(Y$9&lt;=$H35,Y$9+6&gt;=$G35),1,""))</f>
        <v/>
      </c>
      <c r="Z35" s="130">
        <f>IF(OR($G35="",$H35="",$H35&lt;$G35),"",IF(AND(Z$9&lt;=$H35,Z$9+6&gt;=$G35),1,""))</f>
        <v/>
      </c>
      <c r="AA35" s="129">
        <f>IF(OR($G35="",$H35="",$H35&lt;$G35),"",IF(AND(AA$9&lt;=$H35,AA$9+6&gt;=$G35),1,""))</f>
        <v/>
      </c>
      <c r="AB35" s="130">
        <f>IF(OR($G35="",$H35="",$H35&lt;$G35),"",IF(AND(AB$9&lt;=$H35,AB$9+6&gt;=$G35),1,""))</f>
        <v/>
      </c>
      <c r="AC35" s="129">
        <f>IF(OR($G35="",$H35="",$H35&lt;$G35),"",IF(AND(AC$9&lt;=$H35,AC$9+6&gt;=$G35),1,""))</f>
        <v/>
      </c>
      <c r="AD35" s="130">
        <f>IF(OR($G35="",$H35="",$H35&lt;$G35),"",IF(AND(AD$9&lt;=$H35,AD$9+6&gt;=$G35),1,""))</f>
        <v/>
      </c>
    </row>
    <row r="36" ht="23" customHeight="1">
      <c r="B36" s="5" t="inlineStr">
        <is>
          <t>Mốc 1A</t>
        </is>
      </c>
      <c r="C36" s="49" t="inlineStr">
        <is>
          <t>M01 Mốc tuần 4: nền tảng</t>
        </is>
      </c>
      <c r="D36" s="7" t="inlineStr">
        <is>
          <t>Nguyễn Hải Minh</t>
        </is>
      </c>
      <c r="E36" s="7" t="inlineStr">
        <is>
          <t>Not Started</t>
        </is>
      </c>
      <c r="F36" s="7" t="inlineStr">
        <is>
          <t>P0</t>
        </is>
      </c>
      <c r="G36" s="127">
        <f>IF(OR($H$6="",'Chi tiet HK1'!E34="",'Chi tiet HK1'!F34="",'Chi tiet HK1'!F34&lt;'Chi tiet HK1'!E34),"",IF('Chi tiet HK1'!D34="Mốc",$H$6+'Chi tiet HK1'!F34*7-1,$H$6+('Chi tiet HK1'!E34-1)*7))</f>
        <v/>
      </c>
      <c r="H36" s="127">
        <f>IF(OR($H$6="",'Chi tiet HK1'!E34="",'Chi tiet HK1'!F34="",'Chi tiet HK1'!F34&lt;'Chi tiet HK1'!E34),"",$H$6+'Chi tiet HK1'!F34*7-1)</f>
        <v/>
      </c>
      <c r="I36" s="128">
        <f>IF(OR(G36="",H36="",H36&lt;G36),"",H36-G36+1)</f>
        <v/>
      </c>
      <c r="J36" s="15" t="n"/>
      <c r="K36" s="129">
        <f>IF(OR($G36="",$H36="",$H36&lt;$G36),"",IF(AND(K$9&lt;=$H36,K$9+6&gt;=$G36),1,""))</f>
        <v/>
      </c>
      <c r="L36" s="130">
        <f>IF(OR($G36="",$H36="",$H36&lt;$G36),"",IF(AND(L$9&lt;=$H36,L$9+6&gt;=$G36),1,""))</f>
        <v/>
      </c>
      <c r="M36" s="129">
        <f>IF(OR($G36="",$H36="",$H36&lt;$G36),"",IF(AND(M$9&lt;=$H36,M$9+6&gt;=$G36),1,""))</f>
        <v/>
      </c>
      <c r="N36" s="130">
        <f>IF(OR($G36="",$H36="",$H36&lt;$G36),"",IF(AND(N$9&lt;=$H36,N$9+6&gt;=$G36),1,""))</f>
        <v/>
      </c>
      <c r="O36" s="129">
        <f>IF(OR($G36="",$H36="",$H36&lt;$G36),"",IF(AND(O$9&lt;=$H36,O$9+6&gt;=$G36),1,""))</f>
        <v/>
      </c>
      <c r="P36" s="130">
        <f>IF(OR($G36="",$H36="",$H36&lt;$G36),"",IF(AND(P$9&lt;=$H36,P$9+6&gt;=$G36),1,""))</f>
        <v/>
      </c>
      <c r="Q36" s="129">
        <f>IF(OR($G36="",$H36="",$H36&lt;$G36),"",IF(AND(Q$9&lt;=$H36,Q$9+6&gt;=$G36),1,""))</f>
        <v/>
      </c>
      <c r="R36" s="130">
        <f>IF(OR($G36="",$H36="",$H36&lt;$G36),"",IF(AND(R$9&lt;=$H36,R$9+6&gt;=$G36),1,""))</f>
        <v/>
      </c>
      <c r="S36" s="129">
        <f>IF(OR($G36="",$H36="",$H36&lt;$G36),"",IF(AND(S$9&lt;=$H36,S$9+6&gt;=$G36),1,""))</f>
        <v/>
      </c>
      <c r="T36" s="130">
        <f>IF(OR($G36="",$H36="",$H36&lt;$G36),"",IF(AND(T$9&lt;=$H36,T$9+6&gt;=$G36),1,""))</f>
        <v/>
      </c>
      <c r="U36" s="129">
        <f>IF(OR($G36="",$H36="",$H36&lt;$G36),"",IF(AND(U$9&lt;=$H36,U$9+6&gt;=$G36),1,""))</f>
        <v/>
      </c>
      <c r="V36" s="130">
        <f>IF(OR($G36="",$H36="",$H36&lt;$G36),"",IF(AND(V$9&lt;=$H36,V$9+6&gt;=$G36),1,""))</f>
        <v/>
      </c>
      <c r="W36" s="129">
        <f>IF(OR($G36="",$H36="",$H36&lt;$G36),"",IF(AND(W$9&lt;=$H36,W$9+6&gt;=$G36),1,""))</f>
        <v/>
      </c>
      <c r="X36" s="130">
        <f>IF(OR($G36="",$H36="",$H36&lt;$G36),"",IF(AND(X$9&lt;=$H36,X$9+6&gt;=$G36),1,""))</f>
        <v/>
      </c>
      <c r="Y36" s="129">
        <f>IF(OR($G36="",$H36="",$H36&lt;$G36),"",IF(AND(Y$9&lt;=$H36,Y$9+6&gt;=$G36),1,""))</f>
        <v/>
      </c>
      <c r="Z36" s="130">
        <f>IF(OR($G36="",$H36="",$H36&lt;$G36),"",IF(AND(Z$9&lt;=$H36,Z$9+6&gt;=$G36),1,""))</f>
        <v/>
      </c>
      <c r="AA36" s="129">
        <f>IF(OR($G36="",$H36="",$H36&lt;$G36),"",IF(AND(AA$9&lt;=$H36,AA$9+6&gt;=$G36),1,""))</f>
        <v/>
      </c>
      <c r="AB36" s="130">
        <f>IF(OR($G36="",$H36="",$H36&lt;$G36),"",IF(AND(AB$9&lt;=$H36,AB$9+6&gt;=$G36),1,""))</f>
        <v/>
      </c>
      <c r="AC36" s="129">
        <f>IF(OR($G36="",$H36="",$H36&lt;$G36),"",IF(AND(AC$9&lt;=$H36,AC$9+6&gt;=$G36),1,""))</f>
        <v/>
      </c>
      <c r="AD36" s="130">
        <f>IF(OR($G36="",$H36="",$H36&lt;$G36),"",IF(AND(AD$9&lt;=$H36,AD$9+6&gt;=$G36),1,""))</f>
        <v/>
      </c>
    </row>
    <row r="37" ht="23" customHeight="1">
      <c r="B37" s="6" t="inlineStr">
        <is>
          <t>Mốc 1A</t>
        </is>
      </c>
      <c r="C37" s="50" t="inlineStr">
        <is>
          <t>M02 Mốc tuần 8: hết 1A</t>
        </is>
      </c>
      <c r="D37" s="8" t="inlineStr">
        <is>
          <t>Nguyễn Hải Minh</t>
        </is>
      </c>
      <c r="E37" s="8" t="inlineStr">
        <is>
          <t>Not Started</t>
        </is>
      </c>
      <c r="F37" s="8" t="inlineStr">
        <is>
          <t>P0</t>
        </is>
      </c>
      <c r="G37" s="131">
        <f>IF(OR($H$6="",'Chi tiet HK1'!E35="",'Chi tiet HK1'!F35="",'Chi tiet HK1'!F35&lt;'Chi tiet HK1'!E35),"",IF('Chi tiet HK1'!D35="Mốc",$H$6+'Chi tiet HK1'!F35*7-1,$H$6+('Chi tiet HK1'!E35-1)*7))</f>
        <v/>
      </c>
      <c r="H37" s="131">
        <f>IF(OR($H$6="",'Chi tiet HK1'!E35="",'Chi tiet HK1'!F35="",'Chi tiet HK1'!F35&lt;'Chi tiet HK1'!E35),"",$H$6+'Chi tiet HK1'!F35*7-1)</f>
        <v/>
      </c>
      <c r="I37" s="128">
        <f>IF(OR(G37="",H37="",H37&lt;G37),"",H37-G37+1)</f>
        <v/>
      </c>
      <c r="J37" s="15" t="n"/>
      <c r="K37" s="129">
        <f>IF(OR($G37="",$H37="",$H37&lt;$G37),"",IF(AND(K$9&lt;=$H37,K$9+6&gt;=$G37),1,""))</f>
        <v/>
      </c>
      <c r="L37" s="130">
        <f>IF(OR($G37="",$H37="",$H37&lt;$G37),"",IF(AND(L$9&lt;=$H37,L$9+6&gt;=$G37),1,""))</f>
        <v/>
      </c>
      <c r="M37" s="129">
        <f>IF(OR($G37="",$H37="",$H37&lt;$G37),"",IF(AND(M$9&lt;=$H37,M$9+6&gt;=$G37),1,""))</f>
        <v/>
      </c>
      <c r="N37" s="130">
        <f>IF(OR($G37="",$H37="",$H37&lt;$G37),"",IF(AND(N$9&lt;=$H37,N$9+6&gt;=$G37),1,""))</f>
        <v/>
      </c>
      <c r="O37" s="129">
        <f>IF(OR($G37="",$H37="",$H37&lt;$G37),"",IF(AND(O$9&lt;=$H37,O$9+6&gt;=$G37),1,""))</f>
        <v/>
      </c>
      <c r="P37" s="130">
        <f>IF(OR($G37="",$H37="",$H37&lt;$G37),"",IF(AND(P$9&lt;=$H37,P$9+6&gt;=$G37),1,""))</f>
        <v/>
      </c>
      <c r="Q37" s="129">
        <f>IF(OR($G37="",$H37="",$H37&lt;$G37),"",IF(AND(Q$9&lt;=$H37,Q$9+6&gt;=$G37),1,""))</f>
        <v/>
      </c>
      <c r="R37" s="130">
        <f>IF(OR($G37="",$H37="",$H37&lt;$G37),"",IF(AND(R$9&lt;=$H37,R$9+6&gt;=$G37),1,""))</f>
        <v/>
      </c>
      <c r="S37" s="129">
        <f>IF(OR($G37="",$H37="",$H37&lt;$G37),"",IF(AND(S$9&lt;=$H37,S$9+6&gt;=$G37),1,""))</f>
        <v/>
      </c>
      <c r="T37" s="130">
        <f>IF(OR($G37="",$H37="",$H37&lt;$G37),"",IF(AND(T$9&lt;=$H37,T$9+6&gt;=$G37),1,""))</f>
        <v/>
      </c>
      <c r="U37" s="129">
        <f>IF(OR($G37="",$H37="",$H37&lt;$G37),"",IF(AND(U$9&lt;=$H37,U$9+6&gt;=$G37),1,""))</f>
        <v/>
      </c>
      <c r="V37" s="130">
        <f>IF(OR($G37="",$H37="",$H37&lt;$G37),"",IF(AND(V$9&lt;=$H37,V$9+6&gt;=$G37),1,""))</f>
        <v/>
      </c>
      <c r="W37" s="129">
        <f>IF(OR($G37="",$H37="",$H37&lt;$G37),"",IF(AND(W$9&lt;=$H37,W$9+6&gt;=$G37),1,""))</f>
        <v/>
      </c>
      <c r="X37" s="130">
        <f>IF(OR($G37="",$H37="",$H37&lt;$G37),"",IF(AND(X$9&lt;=$H37,X$9+6&gt;=$G37),1,""))</f>
        <v/>
      </c>
      <c r="Y37" s="129">
        <f>IF(OR($G37="",$H37="",$H37&lt;$G37),"",IF(AND(Y$9&lt;=$H37,Y$9+6&gt;=$G37),1,""))</f>
        <v/>
      </c>
      <c r="Z37" s="130">
        <f>IF(OR($G37="",$H37="",$H37&lt;$G37),"",IF(AND(Z$9&lt;=$H37,Z$9+6&gt;=$G37),1,""))</f>
        <v/>
      </c>
      <c r="AA37" s="129">
        <f>IF(OR($G37="",$H37="",$H37&lt;$G37),"",IF(AND(AA$9&lt;=$H37,AA$9+6&gt;=$G37),1,""))</f>
        <v/>
      </c>
      <c r="AB37" s="130">
        <f>IF(OR($G37="",$H37="",$H37&lt;$G37),"",IF(AND(AB$9&lt;=$H37,AB$9+6&gt;=$G37),1,""))</f>
        <v/>
      </c>
      <c r="AC37" s="129">
        <f>IF(OR($G37="",$H37="",$H37&lt;$G37),"",IF(AND(AC$9&lt;=$H37,AC$9+6&gt;=$G37),1,""))</f>
        <v/>
      </c>
      <c r="AD37" s="130">
        <f>IF(OR($G37="",$H37="",$H37&lt;$G37),"",IF(AND(AD$9&lt;=$H37,AD$9+6&gt;=$G37),1,""))</f>
        <v/>
      </c>
    </row>
    <row r="38" ht="23" customHeight="1">
      <c r="B38" s="5" t="inlineStr">
        <is>
          <t>Mốc 1B</t>
        </is>
      </c>
      <c r="C38" s="49" t="inlineStr">
        <is>
          <t>M03 Mốc tuần 12: đo được</t>
        </is>
      </c>
      <c r="D38" s="7" t="inlineStr">
        <is>
          <t>Nguyễn Hải Minh</t>
        </is>
      </c>
      <c r="E38" s="7" t="inlineStr">
        <is>
          <t>Not Started</t>
        </is>
      </c>
      <c r="F38" s="7" t="inlineStr">
        <is>
          <t>P0</t>
        </is>
      </c>
      <c r="G38" s="127">
        <f>IF(OR($H$6="",'Chi tiet HK1'!E36="",'Chi tiet HK1'!F36="",'Chi tiet HK1'!F36&lt;'Chi tiet HK1'!E36),"",IF('Chi tiet HK1'!D36="Mốc",$H$6+'Chi tiet HK1'!F36*7-1,$H$6+('Chi tiet HK1'!E36-1)*7))</f>
        <v/>
      </c>
      <c r="H38" s="127">
        <f>IF(OR($H$6="",'Chi tiet HK1'!E36="",'Chi tiet HK1'!F36="",'Chi tiet HK1'!F36&lt;'Chi tiet HK1'!E36),"",$H$6+'Chi tiet HK1'!F36*7-1)</f>
        <v/>
      </c>
      <c r="I38" s="128">
        <f>IF(OR(G38="",H38="",H38&lt;G38),"",H38-G38+1)</f>
        <v/>
      </c>
      <c r="J38" s="15" t="n"/>
      <c r="K38" s="129">
        <f>IF(OR($G38="",$H38="",$H38&lt;$G38),"",IF(AND(K$9&lt;=$H38,K$9+6&gt;=$G38),1,""))</f>
        <v/>
      </c>
      <c r="L38" s="130">
        <f>IF(OR($G38="",$H38="",$H38&lt;$G38),"",IF(AND(L$9&lt;=$H38,L$9+6&gt;=$G38),1,""))</f>
        <v/>
      </c>
      <c r="M38" s="129">
        <f>IF(OR($G38="",$H38="",$H38&lt;$G38),"",IF(AND(M$9&lt;=$H38,M$9+6&gt;=$G38),1,""))</f>
        <v/>
      </c>
      <c r="N38" s="130">
        <f>IF(OR($G38="",$H38="",$H38&lt;$G38),"",IF(AND(N$9&lt;=$H38,N$9+6&gt;=$G38),1,""))</f>
        <v/>
      </c>
      <c r="O38" s="129">
        <f>IF(OR($G38="",$H38="",$H38&lt;$G38),"",IF(AND(O$9&lt;=$H38,O$9+6&gt;=$G38),1,""))</f>
        <v/>
      </c>
      <c r="P38" s="130">
        <f>IF(OR($G38="",$H38="",$H38&lt;$G38),"",IF(AND(P$9&lt;=$H38,P$9+6&gt;=$G38),1,""))</f>
        <v/>
      </c>
      <c r="Q38" s="129">
        <f>IF(OR($G38="",$H38="",$H38&lt;$G38),"",IF(AND(Q$9&lt;=$H38,Q$9+6&gt;=$G38),1,""))</f>
        <v/>
      </c>
      <c r="R38" s="130">
        <f>IF(OR($G38="",$H38="",$H38&lt;$G38),"",IF(AND(R$9&lt;=$H38,R$9+6&gt;=$G38),1,""))</f>
        <v/>
      </c>
      <c r="S38" s="129">
        <f>IF(OR($G38="",$H38="",$H38&lt;$G38),"",IF(AND(S$9&lt;=$H38,S$9+6&gt;=$G38),1,""))</f>
        <v/>
      </c>
      <c r="T38" s="130">
        <f>IF(OR($G38="",$H38="",$H38&lt;$G38),"",IF(AND(T$9&lt;=$H38,T$9+6&gt;=$G38),1,""))</f>
        <v/>
      </c>
      <c r="U38" s="129">
        <f>IF(OR($G38="",$H38="",$H38&lt;$G38),"",IF(AND(U$9&lt;=$H38,U$9+6&gt;=$G38),1,""))</f>
        <v/>
      </c>
      <c r="V38" s="130">
        <f>IF(OR($G38="",$H38="",$H38&lt;$G38),"",IF(AND(V$9&lt;=$H38,V$9+6&gt;=$G38),1,""))</f>
        <v/>
      </c>
      <c r="W38" s="129">
        <f>IF(OR($G38="",$H38="",$H38&lt;$G38),"",IF(AND(W$9&lt;=$H38,W$9+6&gt;=$G38),1,""))</f>
        <v/>
      </c>
      <c r="X38" s="130">
        <f>IF(OR($G38="",$H38="",$H38&lt;$G38),"",IF(AND(X$9&lt;=$H38,X$9+6&gt;=$G38),1,""))</f>
        <v/>
      </c>
      <c r="Y38" s="129">
        <f>IF(OR($G38="",$H38="",$H38&lt;$G38),"",IF(AND(Y$9&lt;=$H38,Y$9+6&gt;=$G38),1,""))</f>
        <v/>
      </c>
      <c r="Z38" s="130">
        <f>IF(OR($G38="",$H38="",$H38&lt;$G38),"",IF(AND(Z$9&lt;=$H38,Z$9+6&gt;=$G38),1,""))</f>
        <v/>
      </c>
      <c r="AA38" s="129">
        <f>IF(OR($G38="",$H38="",$H38&lt;$G38),"",IF(AND(AA$9&lt;=$H38,AA$9+6&gt;=$G38),1,""))</f>
        <v/>
      </c>
      <c r="AB38" s="130">
        <f>IF(OR($G38="",$H38="",$H38&lt;$G38),"",IF(AND(AB$9&lt;=$H38,AB$9+6&gt;=$G38),1,""))</f>
        <v/>
      </c>
      <c r="AC38" s="129">
        <f>IF(OR($G38="",$H38="",$H38&lt;$G38),"",IF(AND(AC$9&lt;=$H38,AC$9+6&gt;=$G38),1,""))</f>
        <v/>
      </c>
      <c r="AD38" s="130">
        <f>IF(OR($G38="",$H38="",$H38&lt;$G38),"",IF(AND(AD$9&lt;=$H38,AD$9+6&gt;=$G38),1,""))</f>
        <v/>
      </c>
    </row>
    <row r="39" ht="23" customHeight="1">
      <c r="B39" s="6" t="inlineStr">
        <is>
          <t>Mốc 1B</t>
        </is>
      </c>
      <c r="C39" s="50" t="inlineStr">
        <is>
          <t>M04 Mốc tuần 16: hết HK1</t>
        </is>
      </c>
      <c r="D39" s="8" t="inlineStr">
        <is>
          <t>Nguyễn Hải Minh</t>
        </is>
      </c>
      <c r="E39" s="8" t="inlineStr">
        <is>
          <t>Not Started</t>
        </is>
      </c>
      <c r="F39" s="8" t="inlineStr">
        <is>
          <t>P0</t>
        </is>
      </c>
      <c r="G39" s="131">
        <f>IF(OR($H$6="",'Chi tiet HK1'!E37="",'Chi tiet HK1'!F37="",'Chi tiet HK1'!F37&lt;'Chi tiet HK1'!E37),"",IF('Chi tiet HK1'!D37="Mốc",$H$6+'Chi tiet HK1'!F37*7-1,$H$6+('Chi tiet HK1'!E37-1)*7))</f>
        <v/>
      </c>
      <c r="H39" s="131">
        <f>IF(OR($H$6="",'Chi tiet HK1'!E37="",'Chi tiet HK1'!F37="",'Chi tiet HK1'!F37&lt;'Chi tiet HK1'!E37),"",$H$6+'Chi tiet HK1'!F37*7-1)</f>
        <v/>
      </c>
      <c r="I39" s="128">
        <f>IF(OR(G39="",H39="",H39&lt;G39),"",H39-G39+1)</f>
        <v/>
      </c>
      <c r="J39" s="15" t="n"/>
      <c r="K39" s="129">
        <f>IF(OR($G39="",$H39="",$H39&lt;$G39),"",IF(AND(K$9&lt;=$H39,K$9+6&gt;=$G39),1,""))</f>
        <v/>
      </c>
      <c r="L39" s="130">
        <f>IF(OR($G39="",$H39="",$H39&lt;$G39),"",IF(AND(L$9&lt;=$H39,L$9+6&gt;=$G39),1,""))</f>
        <v/>
      </c>
      <c r="M39" s="129">
        <f>IF(OR($G39="",$H39="",$H39&lt;$G39),"",IF(AND(M$9&lt;=$H39,M$9+6&gt;=$G39),1,""))</f>
        <v/>
      </c>
      <c r="N39" s="130">
        <f>IF(OR($G39="",$H39="",$H39&lt;$G39),"",IF(AND(N$9&lt;=$H39,N$9+6&gt;=$G39),1,""))</f>
        <v/>
      </c>
      <c r="O39" s="129">
        <f>IF(OR($G39="",$H39="",$H39&lt;$G39),"",IF(AND(O$9&lt;=$H39,O$9+6&gt;=$G39),1,""))</f>
        <v/>
      </c>
      <c r="P39" s="130">
        <f>IF(OR($G39="",$H39="",$H39&lt;$G39),"",IF(AND(P$9&lt;=$H39,P$9+6&gt;=$G39),1,""))</f>
        <v/>
      </c>
      <c r="Q39" s="129">
        <f>IF(OR($G39="",$H39="",$H39&lt;$G39),"",IF(AND(Q$9&lt;=$H39,Q$9+6&gt;=$G39),1,""))</f>
        <v/>
      </c>
      <c r="R39" s="130">
        <f>IF(OR($G39="",$H39="",$H39&lt;$G39),"",IF(AND(R$9&lt;=$H39,R$9+6&gt;=$G39),1,""))</f>
        <v/>
      </c>
      <c r="S39" s="129">
        <f>IF(OR($G39="",$H39="",$H39&lt;$G39),"",IF(AND(S$9&lt;=$H39,S$9+6&gt;=$G39),1,""))</f>
        <v/>
      </c>
      <c r="T39" s="130">
        <f>IF(OR($G39="",$H39="",$H39&lt;$G39),"",IF(AND(T$9&lt;=$H39,T$9+6&gt;=$G39),1,""))</f>
        <v/>
      </c>
      <c r="U39" s="129">
        <f>IF(OR($G39="",$H39="",$H39&lt;$G39),"",IF(AND(U$9&lt;=$H39,U$9+6&gt;=$G39),1,""))</f>
        <v/>
      </c>
      <c r="V39" s="130">
        <f>IF(OR($G39="",$H39="",$H39&lt;$G39),"",IF(AND(V$9&lt;=$H39,V$9+6&gt;=$G39),1,""))</f>
        <v/>
      </c>
      <c r="W39" s="129">
        <f>IF(OR($G39="",$H39="",$H39&lt;$G39),"",IF(AND(W$9&lt;=$H39,W$9+6&gt;=$G39),1,""))</f>
        <v/>
      </c>
      <c r="X39" s="130">
        <f>IF(OR($G39="",$H39="",$H39&lt;$G39),"",IF(AND(X$9&lt;=$H39,X$9+6&gt;=$G39),1,""))</f>
        <v/>
      </c>
      <c r="Y39" s="129">
        <f>IF(OR($G39="",$H39="",$H39&lt;$G39),"",IF(AND(Y$9&lt;=$H39,Y$9+6&gt;=$G39),1,""))</f>
        <v/>
      </c>
      <c r="Z39" s="130">
        <f>IF(OR($G39="",$H39="",$H39&lt;$G39),"",IF(AND(Z$9&lt;=$H39,Z$9+6&gt;=$G39),1,""))</f>
        <v/>
      </c>
      <c r="AA39" s="129">
        <f>IF(OR($G39="",$H39="",$H39&lt;$G39),"",IF(AND(AA$9&lt;=$H39,AA$9+6&gt;=$G39),1,""))</f>
        <v/>
      </c>
      <c r="AB39" s="130">
        <f>IF(OR($G39="",$H39="",$H39&lt;$G39),"",IF(AND(AB$9&lt;=$H39,AB$9+6&gt;=$G39),1,""))</f>
        <v/>
      </c>
      <c r="AC39" s="129">
        <f>IF(OR($G39="",$H39="",$H39&lt;$G39),"",IF(AND(AC$9&lt;=$H39,AC$9+6&gt;=$G39),1,""))</f>
        <v/>
      </c>
      <c r="AD39" s="130">
        <f>IF(OR($G39="",$H39="",$H39&lt;$G39),"",IF(AND(AD$9&lt;=$H39,AD$9+6&gt;=$G39),1,""))</f>
        <v/>
      </c>
    </row>
    <row r="40">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row>
    <row r="41" ht="24" customHeight="1">
      <c r="B41" s="132" t="inlineStr">
        <is>
          <t>Sửa trạng thái và ưu tiên tại bảng này. Ngày công việc tự tính từ ngày bắt đầu và tuần tại Chi tiet HK1. Complete = đã đạt tiêu chí và có bằng chứng; In Progress = đang làm; At Risk = có vướng mắc; Not Started = chưa bắt đầu. P0 cần đạt, P1 quan trọng, P2 bổ sung. 1A = tuần 1–8; 1B = tuần 9–16 là cách chia đề xuất, cần đối chiếu lịch HUST.</t>
        </is>
      </c>
      <c r="C41" s="133" t="n"/>
      <c r="D41" s="133" t="n"/>
      <c r="E41" s="133" t="n"/>
      <c r="F41" s="133" t="n"/>
      <c r="G41" s="133" t="n"/>
      <c r="H41" s="133" t="n"/>
      <c r="I41" s="133" t="n"/>
      <c r="J41" s="133" t="n"/>
      <c r="K41" s="133" t="n"/>
      <c r="L41" s="133" t="n"/>
      <c r="M41" s="133" t="n"/>
      <c r="N41" s="133" t="n"/>
      <c r="O41" s="133" t="n"/>
      <c r="P41" s="133" t="n"/>
      <c r="Q41" s="133" t="n"/>
      <c r="R41" s="133" t="n"/>
      <c r="S41" s="133" t="n"/>
      <c r="T41" s="133" t="n"/>
      <c r="U41" s="133" t="n"/>
      <c r="V41" s="133" t="n"/>
      <c r="W41" s="133" t="n"/>
      <c r="X41" s="133" t="n"/>
      <c r="Y41" s="133" t="n"/>
      <c r="Z41" s="133" t="n"/>
      <c r="AA41" s="133" t="n"/>
      <c r="AB41" s="133" t="n"/>
      <c r="AC41" s="133" t="n"/>
      <c r="AD41" s="134" t="n"/>
    </row>
    <row r="42" ht="24" customHeight="1">
      <c r="B42" s="135" t="n"/>
      <c r="C42" s="136" t="n"/>
      <c r="D42" s="136" t="n"/>
      <c r="E42" s="136" t="n"/>
      <c r="F42" s="136" t="n"/>
      <c r="G42" s="136" t="n"/>
      <c r="H42" s="136" t="n"/>
      <c r="I42" s="136" t="n"/>
      <c r="J42" s="136" t="n"/>
      <c r="K42" s="136" t="n"/>
      <c r="L42" s="136" t="n"/>
      <c r="M42" s="136" t="n"/>
      <c r="N42" s="136" t="n"/>
      <c r="O42" s="136" t="n"/>
      <c r="P42" s="136" t="n"/>
      <c r="Q42" s="136" t="n"/>
      <c r="R42" s="136" t="n"/>
      <c r="S42" s="136" t="n"/>
      <c r="T42" s="136" t="n"/>
      <c r="U42" s="136" t="n"/>
      <c r="V42" s="136" t="n"/>
      <c r="W42" s="136" t="n"/>
      <c r="X42" s="136" t="n"/>
      <c r="Y42" s="136" t="n"/>
      <c r="Z42" s="136" t="n"/>
      <c r="AA42" s="136" t="n"/>
      <c r="AB42" s="136" t="n"/>
      <c r="AC42" s="136" t="n"/>
      <c r="AD42" s="137" t="n"/>
    </row>
    <row r="43"/>
    <row r="44"/>
    <row r="45" ht="24" customHeight="1">
      <c r="B45" s="94" t="inlineStr">
        <is>
          <t>KHỐI LƯỢNG THEO TUẦN</t>
        </is>
      </c>
      <c r="J45" s="92" t="n"/>
      <c r="K45" s="94" t="inlineStr">
        <is>
          <t>NHỊP LÀM VIỆC VÀ MỐC KIỂM TRA</t>
        </is>
      </c>
    </row>
    <row r="46">
      <c r="B46" s="92" t="n"/>
      <c r="C46" s="92" t="n"/>
      <c r="D46" s="92" t="n"/>
      <c r="E46" s="92" t="n"/>
      <c r="F46" s="92" t="n"/>
      <c r="G46" s="92" t="n"/>
      <c r="H46" s="92" t="n"/>
      <c r="I46" s="92" t="n"/>
      <c r="J46" s="92" t="n"/>
      <c r="K46" s="92" t="n"/>
      <c r="L46" s="92" t="n"/>
      <c r="M46" s="92" t="n"/>
      <c r="N46" s="92" t="n"/>
      <c r="O46" s="92" t="n"/>
      <c r="P46" s="92" t="n"/>
      <c r="Q46" s="92" t="n"/>
      <c r="R46" s="92" t="n"/>
      <c r="S46" s="92" t="n"/>
      <c r="T46" s="92" t="n"/>
      <c r="U46" s="92" t="n"/>
      <c r="V46" s="92" t="n"/>
      <c r="W46" s="92" t="n"/>
      <c r="X46" s="92" t="n"/>
      <c r="Y46" s="92" t="n"/>
      <c r="Z46" s="92" t="n"/>
      <c r="AA46" s="92" t="n"/>
      <c r="AB46" s="92" t="n"/>
      <c r="AC46" s="92" t="n"/>
      <c r="AD46" s="92" t="n"/>
    </row>
    <row r="47" ht="22" customHeight="1">
      <c r="B47" s="98" t="inlineStr">
        <is>
          <t>Tuần</t>
        </is>
      </c>
      <c r="C47" s="98" t="inlineStr">
        <is>
          <t>Bắt đầu tuần</t>
        </is>
      </c>
      <c r="D47" s="98" t="inlineStr">
        <is>
          <t>Học CA (h)</t>
        </is>
      </c>
      <c r="E47" s="98" t="inlineStr">
        <is>
          <t>Đồ án (h)</t>
        </is>
      </c>
      <c r="F47" s="98" t="inlineStr">
        <is>
          <t>Dự phòng (h)</t>
        </is>
      </c>
      <c r="G47" s="98" t="inlineStr">
        <is>
          <t>Tổng (h)</t>
        </is>
      </c>
      <c r="H47" s="98" t="inlineStr">
        <is>
          <t>Còn lại (h)</t>
        </is>
      </c>
      <c r="I47" s="98" t="inlineStr">
        <is>
          <t>Tải tuần</t>
        </is>
      </c>
      <c r="J47" s="92" t="n"/>
      <c r="K47" s="92" t="inlineStr">
        <is>
          <t>Giờ sẵn có / tuần</t>
        </is>
      </c>
      <c r="O47" s="100" t="n">
        <v>10</v>
      </c>
      <c r="Q47" s="92" t="n"/>
      <c r="R47" s="112" t="inlineStr">
        <is>
          <t>Nhịp đề xuất: 2 buổi tối × 2 giờ, 1 buổi cuối tuần × 4 giờ, cộng 2 giờ dự phòng. Tuần 1–8 học CA khoảng 4 giờ/tuần; tuần 9–12 là 3 giờ; tuần 13–16 là 2 giờ. Phần còn lại dành cho đồ án.</t>
        </is>
      </c>
    </row>
    <row r="48" ht="23" customHeight="1">
      <c r="B48" s="102" t="n">
        <v>1</v>
      </c>
      <c r="C48" s="138">
        <f>$H$6+(B48-1)*7</f>
        <v/>
      </c>
      <c r="D48" s="139">
        <f>SUMIFS('Chi tiet HK1'!$L$8:$L$37,'Chi tiet HK1'!$D$8:$D$37,"Học CA",'Chi tiet HK1'!$E$8:$E$37,"&lt;="&amp;B48,'Chi tiet HK1'!$F$8:$F$37,"&gt;="&amp;B48)</f>
        <v/>
      </c>
      <c r="E48" s="139">
        <f>SUMIFS('Chi tiet HK1'!$L$8:$L$37,'Chi tiet HK1'!$D$8:$D$37,"Đồ án",'Chi tiet HK1'!$E$8:$E$37,"&lt;="&amp;B48,'Chi tiet HK1'!$F$8:$F$37,"&gt;="&amp;B48)</f>
        <v/>
      </c>
      <c r="F48" s="139">
        <f>$O$48</f>
        <v/>
      </c>
      <c r="G48" s="139">
        <f>SUM(D48:F48)</f>
        <v/>
      </c>
      <c r="H48" s="139">
        <f>$O$47-G48</f>
        <v/>
      </c>
      <c r="I48" s="110">
        <f>IF($O$53&gt;0,"Thiếu lịch",IF(G48&gt;$O$47,"Quá tải","Trong tải"))</f>
        <v/>
      </c>
      <c r="J48" s="92" t="n"/>
      <c r="K48" s="92" t="inlineStr">
        <is>
          <t>Dự phòng / tuần</t>
        </is>
      </c>
      <c r="O48" s="100" t="n">
        <v>2</v>
      </c>
      <c r="Q48" s="92" t="n"/>
    </row>
    <row r="49" ht="23" customHeight="1">
      <c r="B49" s="103" t="n">
        <v>2</v>
      </c>
      <c r="C49" s="140">
        <f>$H$6+(B49-1)*7</f>
        <v/>
      </c>
      <c r="D49" s="141">
        <f>SUMIFS('Chi tiet HK1'!$L$8:$L$37,'Chi tiet HK1'!$D$8:$D$37,"Học CA",'Chi tiet HK1'!$E$8:$E$37,"&lt;="&amp;B49,'Chi tiet HK1'!$F$8:$F$37,"&gt;="&amp;B49)</f>
        <v/>
      </c>
      <c r="E49" s="141">
        <f>SUMIFS('Chi tiet HK1'!$L$8:$L$37,'Chi tiet HK1'!$D$8:$D$37,"Đồ án",'Chi tiet HK1'!$E$8:$E$37,"&lt;="&amp;B49,'Chi tiet HK1'!$F$8:$F$37,"&gt;="&amp;B49)</f>
        <v/>
      </c>
      <c r="F49" s="141">
        <f>$O$48</f>
        <v/>
      </c>
      <c r="G49" s="141">
        <f>SUM(D49:F49)</f>
        <v/>
      </c>
      <c r="H49" s="141">
        <f>$O$47-G49</f>
        <v/>
      </c>
      <c r="I49" s="111">
        <f>IF($O$53&gt;0,"Thiếu lịch",IF(G49&gt;$O$47,"Quá tải","Trong tải"))</f>
        <v/>
      </c>
      <c r="J49" s="92" t="n"/>
      <c r="K49" s="92" t="inlineStr">
        <is>
          <t>Tổng giờ học CA</t>
        </is>
      </c>
      <c r="O49" s="142">
        <f>SUM(D48:D63)</f>
        <v/>
      </c>
      <c r="Q49" s="92" t="n"/>
    </row>
    <row r="50" ht="23" customHeight="1">
      <c r="B50" s="102" t="n">
        <v>3</v>
      </c>
      <c r="C50" s="138">
        <f>$H$6+(B50-1)*7</f>
        <v/>
      </c>
      <c r="D50" s="139">
        <f>SUMIFS('Chi tiet HK1'!$L$8:$L$37,'Chi tiet HK1'!$D$8:$D$37,"Học CA",'Chi tiet HK1'!$E$8:$E$37,"&lt;="&amp;B50,'Chi tiet HK1'!$F$8:$F$37,"&gt;="&amp;B50)</f>
        <v/>
      </c>
      <c r="E50" s="139">
        <f>SUMIFS('Chi tiet HK1'!$L$8:$L$37,'Chi tiet HK1'!$D$8:$D$37,"Đồ án",'Chi tiet HK1'!$E$8:$E$37,"&lt;="&amp;B50,'Chi tiet HK1'!$F$8:$F$37,"&gt;="&amp;B50)</f>
        <v/>
      </c>
      <c r="F50" s="139">
        <f>$O$48</f>
        <v/>
      </c>
      <c r="G50" s="139">
        <f>SUM(D50:F50)</f>
        <v/>
      </c>
      <c r="H50" s="139">
        <f>$O$47-G50</f>
        <v/>
      </c>
      <c r="I50" s="110">
        <f>IF($O$53&gt;0,"Thiếu lịch",IF(G50&gt;$O$47,"Quá tải","Trong tải"))</f>
        <v/>
      </c>
      <c r="J50" s="92" t="n"/>
      <c r="K50" s="92" t="inlineStr">
        <is>
          <t>Tổng giờ đồ án</t>
        </is>
      </c>
      <c r="O50" s="142">
        <f>SUM(E48:E63)</f>
        <v/>
      </c>
      <c r="Q50" s="92" t="n"/>
    </row>
    <row r="51" ht="23" customHeight="1">
      <c r="B51" s="103" t="n">
        <v>4</v>
      </c>
      <c r="C51" s="140">
        <f>$H$6+(B51-1)*7</f>
        <v/>
      </c>
      <c r="D51" s="141">
        <f>SUMIFS('Chi tiet HK1'!$L$8:$L$37,'Chi tiet HK1'!$D$8:$D$37,"Học CA",'Chi tiet HK1'!$E$8:$E$37,"&lt;="&amp;B51,'Chi tiet HK1'!$F$8:$F$37,"&gt;="&amp;B51)</f>
        <v/>
      </c>
      <c r="E51" s="141">
        <f>SUMIFS('Chi tiet HK1'!$L$8:$L$37,'Chi tiet HK1'!$D$8:$D$37,"Đồ án",'Chi tiet HK1'!$E$8:$E$37,"&lt;="&amp;B51,'Chi tiet HK1'!$F$8:$F$37,"&gt;="&amp;B51)</f>
        <v/>
      </c>
      <c r="F51" s="141">
        <f>$O$48</f>
        <v/>
      </c>
      <c r="G51" s="141">
        <f>SUM(D51:F51)</f>
        <v/>
      </c>
      <c r="H51" s="141">
        <f>$O$47-G51</f>
        <v/>
      </c>
      <c r="I51" s="111">
        <f>IF($O$53&gt;0,"Thiếu lịch",IF(G51&gt;$O$47,"Quá tải","Trong tải"))</f>
        <v/>
      </c>
      <c r="J51" s="92" t="n"/>
      <c r="K51" s="92" t="inlineStr">
        <is>
          <t>Giờ đã xếp và dự phòng</t>
        </is>
      </c>
      <c r="O51" s="142">
        <f>SUM(G48:G63)</f>
        <v/>
      </c>
      <c r="Q51" s="92" t="n"/>
      <c r="R51" s="92" t="n"/>
      <c r="S51" s="92" t="n"/>
      <c r="T51" s="92" t="n"/>
      <c r="U51" s="92" t="n"/>
      <c r="V51" s="92" t="n"/>
      <c r="W51" s="92" t="n"/>
      <c r="X51" s="92" t="n"/>
      <c r="Y51" s="92" t="n"/>
      <c r="Z51" s="92" t="n"/>
      <c r="AA51" s="92" t="n"/>
      <c r="AB51" s="92" t="n"/>
      <c r="AC51" s="92" t="n"/>
      <c r="AD51" s="92" t="n"/>
    </row>
    <row r="52" ht="23" customHeight="1">
      <c r="B52" s="102" t="n">
        <v>5</v>
      </c>
      <c r="C52" s="138">
        <f>$H$6+(B52-1)*7</f>
        <v/>
      </c>
      <c r="D52" s="139">
        <f>SUMIFS('Chi tiet HK1'!$L$8:$L$37,'Chi tiet HK1'!$D$8:$D$37,"Học CA",'Chi tiet HK1'!$E$8:$E$37,"&lt;="&amp;B52,'Chi tiet HK1'!$F$8:$F$37,"&gt;="&amp;B52)</f>
        <v/>
      </c>
      <c r="E52" s="139">
        <f>SUMIFS('Chi tiet HK1'!$L$8:$L$37,'Chi tiet HK1'!$D$8:$D$37,"Đồ án",'Chi tiet HK1'!$E$8:$E$37,"&lt;="&amp;B52,'Chi tiet HK1'!$F$8:$F$37,"&gt;="&amp;B52)</f>
        <v/>
      </c>
      <c r="F52" s="139">
        <f>$O$48</f>
        <v/>
      </c>
      <c r="G52" s="139">
        <f>SUM(D52:F52)</f>
        <v/>
      </c>
      <c r="H52" s="139">
        <f>$O$47-G52</f>
        <v/>
      </c>
      <c r="I52" s="110">
        <f>IF($O$53&gt;0,"Thiếu lịch",IF(G52&gt;$O$47,"Quá tải","Trong tải"))</f>
        <v/>
      </c>
      <c r="J52" s="92" t="n"/>
      <c r="K52" s="92" t="inlineStr">
        <is>
          <t>Tuần quá tải</t>
        </is>
      </c>
      <c r="O52" s="142">
        <f>COUNTIFS(I48:I63,"Quá tải")</f>
        <v/>
      </c>
      <c r="Q52" s="92" t="n"/>
      <c r="R52" s="113" t="inlineStr">
        <is>
          <t>Lịch chưa trừ ngày nghỉ/lịch môn học. Giảm giờ sẵn có nếu bận; cảnh báo tải tuần sẽ đổi theo. Bốn tuần cuối Gantt để trống, chưa tự động gia hạn HK1.</t>
        </is>
      </c>
    </row>
    <row r="53" ht="23" customHeight="1">
      <c r="B53" s="103" t="n">
        <v>6</v>
      </c>
      <c r="C53" s="140">
        <f>$H$6+(B53-1)*7</f>
        <v/>
      </c>
      <c r="D53" s="141">
        <f>SUMIFS('Chi tiet HK1'!$L$8:$L$37,'Chi tiet HK1'!$D$8:$D$37,"Học CA",'Chi tiet HK1'!$E$8:$E$37,"&lt;="&amp;B53,'Chi tiet HK1'!$F$8:$F$37,"&gt;="&amp;B53)</f>
        <v/>
      </c>
      <c r="E53" s="141">
        <f>SUMIFS('Chi tiet HK1'!$L$8:$L$37,'Chi tiet HK1'!$D$8:$D$37,"Đồ án",'Chi tiet HK1'!$E$8:$E$37,"&lt;="&amp;B53,'Chi tiet HK1'!$F$8:$F$37,"&gt;="&amp;B53)</f>
        <v/>
      </c>
      <c r="F53" s="141">
        <f>$O$48</f>
        <v/>
      </c>
      <c r="G53" s="141">
        <f>SUM(D53:F53)</f>
        <v/>
      </c>
      <c r="H53" s="141">
        <f>$O$47-G53</f>
        <v/>
      </c>
      <c r="I53" s="111">
        <f>IF($O$53&gt;0,"Thiếu lịch",IF(G53&gt;$O$47,"Quá tải","Trong tải"))</f>
        <v/>
      </c>
      <c r="J53" s="92" t="n"/>
      <c r="K53" s="92" t="inlineStr">
        <is>
          <t>Mục thiếu lịch</t>
        </is>
      </c>
      <c r="O53" s="142">
        <f>COUNTBLANK(G10:G39)</f>
        <v/>
      </c>
      <c r="Q53" s="92" t="n"/>
    </row>
    <row r="54" ht="23" customHeight="1">
      <c r="B54" s="102" t="n">
        <v>7</v>
      </c>
      <c r="C54" s="138">
        <f>$H$6+(B54-1)*7</f>
        <v/>
      </c>
      <c r="D54" s="139">
        <f>SUMIFS('Chi tiet HK1'!$L$8:$L$37,'Chi tiet HK1'!$D$8:$D$37,"Học CA",'Chi tiet HK1'!$E$8:$E$37,"&lt;="&amp;B54,'Chi tiet HK1'!$F$8:$F$37,"&gt;="&amp;B54)</f>
        <v/>
      </c>
      <c r="E54" s="139">
        <f>SUMIFS('Chi tiet HK1'!$L$8:$L$37,'Chi tiet HK1'!$D$8:$D$37,"Đồ án",'Chi tiet HK1'!$E$8:$E$37,"&lt;="&amp;B54,'Chi tiet HK1'!$F$8:$F$37,"&gt;="&amp;B54)</f>
        <v/>
      </c>
      <c r="F54" s="139">
        <f>$O$48</f>
        <v/>
      </c>
      <c r="G54" s="139">
        <f>SUM(D54:F54)</f>
        <v/>
      </c>
      <c r="H54" s="139">
        <f>$O$47-G54</f>
        <v/>
      </c>
      <c r="I54" s="110">
        <f>IF($O$53&gt;0,"Thiếu lịch",IF(G54&gt;$O$47,"Quá tải","Trong tải"))</f>
        <v/>
      </c>
      <c r="J54" s="92" t="n"/>
      <c r="K54" s="92" t="n"/>
      <c r="L54" s="92" t="n"/>
      <c r="M54" s="92" t="n"/>
      <c r="N54" s="92" t="n"/>
      <c r="O54" s="92" t="n"/>
      <c r="P54" s="92" t="n"/>
      <c r="Q54" s="92" t="n"/>
      <c r="R54" s="92" t="n"/>
      <c r="S54" s="92" t="n"/>
      <c r="T54" s="92" t="n"/>
      <c r="U54" s="92" t="n"/>
      <c r="V54" s="92" t="n"/>
      <c r="W54" s="92" t="n"/>
      <c r="X54" s="92" t="n"/>
      <c r="Y54" s="92" t="n"/>
      <c r="Z54" s="92" t="n"/>
      <c r="AA54" s="92" t="n"/>
      <c r="AB54" s="92" t="n"/>
      <c r="AC54" s="92" t="n"/>
      <c r="AD54" s="92" t="n"/>
    </row>
    <row r="55" ht="24" customHeight="1">
      <c r="B55" s="103" t="n">
        <v>8</v>
      </c>
      <c r="C55" s="140">
        <f>$H$6+(B55-1)*7</f>
        <v/>
      </c>
      <c r="D55" s="141">
        <f>SUMIFS('Chi tiet HK1'!$L$8:$L$37,'Chi tiet HK1'!$D$8:$D$37,"Học CA",'Chi tiet HK1'!$E$8:$E$37,"&lt;="&amp;B55,'Chi tiet HK1'!$F$8:$F$37,"&gt;="&amp;B55)</f>
        <v/>
      </c>
      <c r="E55" s="141">
        <f>SUMIFS('Chi tiet HK1'!$L$8:$L$37,'Chi tiet HK1'!$D$8:$D$37,"Đồ án",'Chi tiet HK1'!$E$8:$E$37,"&lt;="&amp;B55,'Chi tiet HK1'!$F$8:$F$37,"&gt;="&amp;B55)</f>
        <v/>
      </c>
      <c r="F55" s="141">
        <f>$O$48</f>
        <v/>
      </c>
      <c r="G55" s="141">
        <f>SUM(D55:F55)</f>
        <v/>
      </c>
      <c r="H55" s="141">
        <f>$O$47-G55</f>
        <v/>
      </c>
      <c r="I55" s="111">
        <f>IF($O$53&gt;0,"Thiếu lịch",IF(G55&gt;$O$47,"Quá tải","Trong tải"))</f>
        <v/>
      </c>
      <c r="J55" s="92" t="n"/>
      <c r="K55" s="96" t="inlineStr">
        <is>
          <t>Mốc</t>
        </is>
      </c>
      <c r="N55" s="96" t="inlineStr">
        <is>
          <t>Điều kiện để review</t>
        </is>
      </c>
      <c r="X55" s="96" t="inlineStr">
        <is>
          <t>Tình trạng điều kiện</t>
        </is>
      </c>
    </row>
    <row r="56" ht="28" customHeight="1">
      <c r="B56" s="102" t="n">
        <v>9</v>
      </c>
      <c r="C56" s="138">
        <f>$H$6+(B56-1)*7</f>
        <v/>
      </c>
      <c r="D56" s="139">
        <f>SUMIFS('Chi tiet HK1'!$L$8:$L$37,'Chi tiet HK1'!$D$8:$D$37,"Học CA",'Chi tiet HK1'!$E$8:$E$37,"&lt;="&amp;B56,'Chi tiet HK1'!$F$8:$F$37,"&gt;="&amp;B56)</f>
        <v/>
      </c>
      <c r="E56" s="139">
        <f>SUMIFS('Chi tiet HK1'!$L$8:$L$37,'Chi tiet HK1'!$D$8:$D$37,"Đồ án",'Chi tiet HK1'!$E$8:$E$37,"&lt;="&amp;B56,'Chi tiet HK1'!$F$8:$F$37,"&gt;="&amp;B56)</f>
        <v/>
      </c>
      <c r="F56" s="139">
        <f>$O$48</f>
        <v/>
      </c>
      <c r="G56" s="139">
        <f>SUM(D56:F56)</f>
        <v/>
      </c>
      <c r="H56" s="139">
        <f>$O$47-G56</f>
        <v/>
      </c>
      <c r="I56" s="110">
        <f>IF($O$53&gt;0,"Thiếu lịch",IF(G56&gt;$O$47,"Quá tải","Trong tải"))</f>
        <v/>
      </c>
      <c r="J56" s="92" t="n"/>
      <c r="K56" s="108" t="inlineStr">
        <is>
          <t>M01 / tuần 4</t>
        </is>
      </c>
      <c r="N56" s="108" t="inlineStr">
        <is>
          <t>C01, C02, C03, P01, P02, P03, P04</t>
        </is>
      </c>
      <c r="X56" s="108">
        <f>IF((IF($E$10="Complete",0,1)+IF($E$11="Complete",0,1)+IF($E$12="Complete",0,1)+IF($E$20="Complete",0,1)+IF($E$21="Complete",0,1)+IF($E$22="Complete",0,1)+IF($E$23="Complete",0,1))=0,"Sẵn sàng review","Còn "&amp;(IF($E$10="Complete",0,1)+IF($E$11="Complete",0,1)+IF($E$12="Complete",0,1)+IF($E$20="Complete",0,1)+IF($E$21="Complete",0,1)+IF($E$22="Complete",0,1)+IF($E$23="Complete",0,1))&amp;" mục chưa đạt")</f>
        <v/>
      </c>
    </row>
    <row r="57" ht="28" customHeight="1">
      <c r="B57" s="103" t="n">
        <v>10</v>
      </c>
      <c r="C57" s="140">
        <f>$H$6+(B57-1)*7</f>
        <v/>
      </c>
      <c r="D57" s="141">
        <f>SUMIFS('Chi tiet HK1'!$L$8:$L$37,'Chi tiet HK1'!$D$8:$D$37,"Học CA",'Chi tiet HK1'!$E$8:$E$37,"&lt;="&amp;B57,'Chi tiet HK1'!$F$8:$F$37,"&gt;="&amp;B57)</f>
        <v/>
      </c>
      <c r="E57" s="141">
        <f>SUMIFS('Chi tiet HK1'!$L$8:$L$37,'Chi tiet HK1'!$D$8:$D$37,"Đồ án",'Chi tiet HK1'!$E$8:$E$37,"&lt;="&amp;B57,'Chi tiet HK1'!$F$8:$F$37,"&gt;="&amp;B57)</f>
        <v/>
      </c>
      <c r="F57" s="141">
        <f>$O$48</f>
        <v/>
      </c>
      <c r="G57" s="141">
        <f>SUM(D57:F57)</f>
        <v/>
      </c>
      <c r="H57" s="141">
        <f>$O$47-G57</f>
        <v/>
      </c>
      <c r="I57" s="111">
        <f>IF($O$53&gt;0,"Thiếu lịch",IF(G57&gt;$O$47,"Quá tải","Trong tải"))</f>
        <v/>
      </c>
      <c r="J57" s="92" t="n"/>
      <c r="K57" s="109" t="inlineStr">
        <is>
          <t>M02 / tuần 8</t>
        </is>
      </c>
      <c r="N57" s="109" t="inlineStr">
        <is>
          <t>M01, C04, C05, C06, P05, P06, P07, P08</t>
        </is>
      </c>
      <c r="X57" s="109">
        <f>IF((IF($E$36="Complete",0,1)+IF($E$13="Complete",0,1)+IF($E$14="Complete",0,1)+IF($E$15="Complete",0,1)+IF($E$24="Complete",0,1)+IF($E$25="Complete",0,1)+IF($E$26="Complete",0,1)+IF($E$27="Complete",0,1))=0,"Sẵn sàng review","Còn "&amp;(IF($E$36="Complete",0,1)+IF($E$13="Complete",0,1)+IF($E$14="Complete",0,1)+IF($E$15="Complete",0,1)+IF($E$24="Complete",0,1)+IF($E$25="Complete",0,1)+IF($E$26="Complete",0,1)+IF($E$27="Complete",0,1))&amp;" mục chưa đạt")</f>
        <v/>
      </c>
    </row>
    <row r="58" ht="28" customHeight="1">
      <c r="B58" s="102" t="n">
        <v>11</v>
      </c>
      <c r="C58" s="138">
        <f>$H$6+(B58-1)*7</f>
        <v/>
      </c>
      <c r="D58" s="139">
        <f>SUMIFS('Chi tiet HK1'!$L$8:$L$37,'Chi tiet HK1'!$D$8:$D$37,"Học CA",'Chi tiet HK1'!$E$8:$E$37,"&lt;="&amp;B58,'Chi tiet HK1'!$F$8:$F$37,"&gt;="&amp;B58)</f>
        <v/>
      </c>
      <c r="E58" s="139">
        <f>SUMIFS('Chi tiet HK1'!$L$8:$L$37,'Chi tiet HK1'!$D$8:$D$37,"Đồ án",'Chi tiet HK1'!$E$8:$E$37,"&lt;="&amp;B58,'Chi tiet HK1'!$F$8:$F$37,"&gt;="&amp;B58)</f>
        <v/>
      </c>
      <c r="F58" s="139">
        <f>$O$48</f>
        <v/>
      </c>
      <c r="G58" s="139">
        <f>SUM(D58:F58)</f>
        <v/>
      </c>
      <c r="H58" s="139">
        <f>$O$47-G58</f>
        <v/>
      </c>
      <c r="I58" s="110">
        <f>IF($O$53&gt;0,"Thiếu lịch",IF(G58&gt;$O$47,"Quá tải","Trong tải"))</f>
        <v/>
      </c>
      <c r="J58" s="92" t="n"/>
      <c r="K58" s="108" t="inlineStr">
        <is>
          <t>M03 / tuần 12</t>
        </is>
      </c>
      <c r="N58" s="108" t="inlineStr">
        <is>
          <t>M02, C07, C08, P09, P10, P11, P12</t>
        </is>
      </c>
      <c r="X58" s="108">
        <f>IF((IF($E$37="Complete",0,1)+IF($E$16="Complete",0,1)+IF($E$17="Complete",0,1)+IF($E$28="Complete",0,1)+IF($E$29="Complete",0,1)+IF($E$30="Complete",0,1)+IF($E$31="Complete",0,1))=0,"Sẵn sàng review","Còn "&amp;(IF($E$37="Complete",0,1)+IF($E$16="Complete",0,1)+IF($E$17="Complete",0,1)+IF($E$28="Complete",0,1)+IF($E$29="Complete",0,1)+IF($E$30="Complete",0,1)+IF($E$31="Complete",0,1))&amp;" mục chưa đạt")</f>
        <v/>
      </c>
    </row>
    <row r="59" ht="28" customHeight="1">
      <c r="B59" s="103" t="n">
        <v>12</v>
      </c>
      <c r="C59" s="140">
        <f>$H$6+(B59-1)*7</f>
        <v/>
      </c>
      <c r="D59" s="141">
        <f>SUMIFS('Chi tiet HK1'!$L$8:$L$37,'Chi tiet HK1'!$D$8:$D$37,"Học CA",'Chi tiet HK1'!$E$8:$E$37,"&lt;="&amp;B59,'Chi tiet HK1'!$F$8:$F$37,"&gt;="&amp;B59)</f>
        <v/>
      </c>
      <c r="E59" s="141">
        <f>SUMIFS('Chi tiet HK1'!$L$8:$L$37,'Chi tiet HK1'!$D$8:$D$37,"Đồ án",'Chi tiet HK1'!$E$8:$E$37,"&lt;="&amp;B59,'Chi tiet HK1'!$F$8:$F$37,"&gt;="&amp;B59)</f>
        <v/>
      </c>
      <c r="F59" s="141">
        <f>$O$48</f>
        <v/>
      </c>
      <c r="G59" s="141">
        <f>SUM(D59:F59)</f>
        <v/>
      </c>
      <c r="H59" s="141">
        <f>$O$47-G59</f>
        <v/>
      </c>
      <c r="I59" s="111">
        <f>IF($O$53&gt;0,"Thiếu lịch",IF(G59&gt;$O$47,"Quá tải","Trong tải"))</f>
        <v/>
      </c>
      <c r="J59" s="92" t="n"/>
      <c r="K59" s="109" t="inlineStr">
        <is>
          <t>M04 / tuần 16</t>
        </is>
      </c>
      <c r="N59" s="109" t="inlineStr">
        <is>
          <t>M03, C09, C10, P13, P14, P15, P16</t>
        </is>
      </c>
      <c r="X59" s="109">
        <f>IF((IF($E$38="Complete",0,1)+IF($E$18="Complete",0,1)+IF($E$19="Complete",0,1)+IF($E$32="Complete",0,1)+IF($E$33="Complete",0,1)+IF($E$34="Complete",0,1)+IF($E$35="Complete",0,1))=0,"Sẵn sàng review","Còn "&amp;(IF($E$38="Complete",0,1)+IF($E$18="Complete",0,1)+IF($E$19="Complete",0,1)+IF($E$32="Complete",0,1)+IF($E$33="Complete",0,1)+IF($E$34="Complete",0,1)+IF($E$35="Complete",0,1))&amp;" mục chưa đạt")</f>
        <v/>
      </c>
    </row>
    <row r="60" ht="23" customHeight="1">
      <c r="B60" s="102" t="n">
        <v>13</v>
      </c>
      <c r="C60" s="138">
        <f>$H$6+(B60-1)*7</f>
        <v/>
      </c>
      <c r="D60" s="139">
        <f>SUMIFS('Chi tiet HK1'!$L$8:$L$37,'Chi tiet HK1'!$D$8:$D$37,"Học CA",'Chi tiet HK1'!$E$8:$E$37,"&lt;="&amp;B60,'Chi tiet HK1'!$F$8:$F$37,"&gt;="&amp;B60)</f>
        <v/>
      </c>
      <c r="E60" s="139">
        <f>SUMIFS('Chi tiet HK1'!$L$8:$L$37,'Chi tiet HK1'!$D$8:$D$37,"Đồ án",'Chi tiet HK1'!$E$8:$E$37,"&lt;="&amp;B60,'Chi tiet HK1'!$F$8:$F$37,"&gt;="&amp;B60)</f>
        <v/>
      </c>
      <c r="F60" s="139">
        <f>$O$48</f>
        <v/>
      </c>
      <c r="G60" s="139">
        <f>SUM(D60:F60)</f>
        <v/>
      </c>
      <c r="H60" s="139">
        <f>$O$47-G60</f>
        <v/>
      </c>
      <c r="I60" s="110">
        <f>IF($O$53&gt;0,"Thiếu lịch",IF(G60&gt;$O$47,"Quá tải","Trong tải"))</f>
        <v/>
      </c>
      <c r="J60" s="92" t="n"/>
      <c r="K60" s="92" t="n"/>
      <c r="L60" s="92" t="n"/>
      <c r="M60" s="92" t="n"/>
      <c r="N60" s="92" t="n"/>
      <c r="O60" s="92" t="n"/>
      <c r="P60" s="92" t="n"/>
      <c r="Q60" s="92" t="n"/>
      <c r="R60" s="92" t="n"/>
      <c r="S60" s="92" t="n"/>
      <c r="T60" s="92" t="n"/>
      <c r="U60" s="92" t="n"/>
      <c r="V60" s="92" t="n"/>
      <c r="W60" s="92" t="n"/>
      <c r="X60" s="92" t="n"/>
      <c r="Y60" s="92" t="n"/>
      <c r="Z60" s="92" t="n"/>
      <c r="AA60" s="92" t="n"/>
      <c r="AB60" s="92" t="n"/>
      <c r="AC60" s="92" t="n"/>
      <c r="AD60" s="92" t="n"/>
    </row>
    <row r="61" ht="23" customHeight="1">
      <c r="B61" s="103" t="n">
        <v>14</v>
      </c>
      <c r="C61" s="140">
        <f>$H$6+(B61-1)*7</f>
        <v/>
      </c>
      <c r="D61" s="141">
        <f>SUMIFS('Chi tiet HK1'!$L$8:$L$37,'Chi tiet HK1'!$D$8:$D$37,"Học CA",'Chi tiet HK1'!$E$8:$E$37,"&lt;="&amp;B61,'Chi tiet HK1'!$F$8:$F$37,"&gt;="&amp;B61)</f>
        <v/>
      </c>
      <c r="E61" s="141">
        <f>SUMIFS('Chi tiet HK1'!$L$8:$L$37,'Chi tiet HK1'!$D$8:$D$37,"Đồ án",'Chi tiet HK1'!$E$8:$E$37,"&lt;="&amp;B61,'Chi tiet HK1'!$F$8:$F$37,"&gt;="&amp;B61)</f>
        <v/>
      </c>
      <c r="F61" s="141">
        <f>$O$48</f>
        <v/>
      </c>
      <c r="G61" s="141">
        <f>SUM(D61:F61)</f>
        <v/>
      </c>
      <c r="H61" s="141">
        <f>$O$47-G61</f>
        <v/>
      </c>
      <c r="I61" s="111">
        <f>IF($O$53&gt;0,"Thiếu lịch",IF(G61&gt;$O$47,"Quá tải","Trong tải"))</f>
        <v/>
      </c>
      <c r="J61" s="92" t="n"/>
      <c r="K61" s="112" t="inlineStr">
        <is>
          <t>Mốc chỉ sẵn sàng khi mọi mục phụ thuộc được đặt Complete; kết quả review vẫn do bạn xác nhận. Lưu bằng chứng trước khi hoàn thành. Gantt và KPI dùng trạng thái gốc của template. Giữ thứ tự/ID các dòng; chỉnh tuần và giờ ở Chi tiet HK1 để đổi lịch.</t>
        </is>
      </c>
    </row>
    <row r="62" ht="23" customHeight="1">
      <c r="B62" s="102" t="n">
        <v>15</v>
      </c>
      <c r="C62" s="138">
        <f>$H$6+(B62-1)*7</f>
        <v/>
      </c>
      <c r="D62" s="139">
        <f>SUMIFS('Chi tiet HK1'!$L$8:$L$37,'Chi tiet HK1'!$D$8:$D$37,"Học CA",'Chi tiet HK1'!$E$8:$E$37,"&lt;="&amp;B62,'Chi tiet HK1'!$F$8:$F$37,"&gt;="&amp;B62)</f>
        <v/>
      </c>
      <c r="E62" s="139">
        <f>SUMIFS('Chi tiet HK1'!$L$8:$L$37,'Chi tiet HK1'!$D$8:$D$37,"Đồ án",'Chi tiet HK1'!$E$8:$E$37,"&lt;="&amp;B62,'Chi tiet HK1'!$F$8:$F$37,"&gt;="&amp;B62)</f>
        <v/>
      </c>
      <c r="F62" s="139">
        <f>$O$48</f>
        <v/>
      </c>
      <c r="G62" s="139">
        <f>SUM(D62:F62)</f>
        <v/>
      </c>
      <c r="H62" s="139">
        <f>$O$47-G62</f>
        <v/>
      </c>
      <c r="I62" s="110">
        <f>IF($O$53&gt;0,"Thiếu lịch",IF(G62&gt;$O$47,"Quá tải","Trong tải"))</f>
        <v/>
      </c>
      <c r="J62" s="92" t="n"/>
    </row>
    <row r="63" ht="23" customHeight="1">
      <c r="B63" s="103" t="n">
        <v>16</v>
      </c>
      <c r="C63" s="140">
        <f>$H$6+(B63-1)*7</f>
        <v/>
      </c>
      <c r="D63" s="141">
        <f>SUMIFS('Chi tiet HK1'!$L$8:$L$37,'Chi tiet HK1'!$D$8:$D$37,"Học CA",'Chi tiet HK1'!$E$8:$E$37,"&lt;="&amp;B63,'Chi tiet HK1'!$F$8:$F$37,"&gt;="&amp;B63)</f>
        <v/>
      </c>
      <c r="E63" s="141">
        <f>SUMIFS('Chi tiet HK1'!$L$8:$L$37,'Chi tiet HK1'!$D$8:$D$37,"Đồ án",'Chi tiet HK1'!$E$8:$E$37,"&lt;="&amp;B63,'Chi tiet HK1'!$F$8:$F$37,"&gt;="&amp;B63)</f>
        <v/>
      </c>
      <c r="F63" s="141">
        <f>$O$48</f>
        <v/>
      </c>
      <c r="G63" s="141">
        <f>SUM(D63:F63)</f>
        <v/>
      </c>
      <c r="H63" s="141">
        <f>$O$47-G63</f>
        <v/>
      </c>
      <c r="I63" s="111">
        <f>IF($O$53&gt;0,"Thiếu lịch",IF(G63&gt;$O$47,"Quá tải","Trong tải"))</f>
        <v/>
      </c>
      <c r="J63" s="92" t="n"/>
    </row>
    <row r="64">
      <c r="B64" s="92" t="n"/>
      <c r="C64" s="92" t="n"/>
      <c r="D64" s="92" t="n"/>
      <c r="E64" s="92" t="n"/>
      <c r="F64" s="92" t="n"/>
      <c r="G64" s="92" t="n"/>
      <c r="H64" s="92" t="n"/>
      <c r="I64" s="92" t="n"/>
      <c r="J64" s="92" t="n"/>
      <c r="K64" s="92" t="n"/>
      <c r="L64" s="92" t="n"/>
      <c r="M64" s="92" t="n"/>
      <c r="N64" s="92" t="n"/>
      <c r="O64" s="92" t="n"/>
      <c r="P64" s="92" t="n"/>
      <c r="Q64" s="92" t="n"/>
      <c r="R64" s="92" t="n"/>
      <c r="S64" s="92" t="n"/>
      <c r="T64" s="92" t="n"/>
      <c r="U64" s="92" t="n"/>
      <c r="V64" s="92" t="n"/>
      <c r="W64" s="92" t="n"/>
      <c r="X64" s="92" t="n"/>
      <c r="Y64" s="92" t="n"/>
      <c r="Z64" s="92" t="n"/>
      <c r="AA64" s="92" t="n"/>
      <c r="AB64" s="92" t="n"/>
      <c r="AC64" s="92" t="n"/>
      <c r="AD64" s="92" t="n"/>
    </row>
    <row r="65">
      <c r="B65" s="92" t="n"/>
      <c r="C65" s="92" t="n"/>
      <c r="D65" s="92" t="n"/>
      <c r="E65" s="92" t="n"/>
      <c r="F65" s="92" t="n"/>
      <c r="G65" s="92" t="n"/>
      <c r="H65" s="92" t="n"/>
      <c r="I65" s="92" t="n"/>
      <c r="J65" s="92" t="n"/>
      <c r="K65" s="92" t="n"/>
      <c r="L65" s="92" t="n"/>
      <c r="M65" s="92" t="n"/>
      <c r="N65" s="92" t="n"/>
      <c r="O65" s="92" t="n"/>
      <c r="P65" s="92" t="n"/>
      <c r="Q65" s="92" t="n"/>
      <c r="R65" s="92" t="n"/>
      <c r="S65" s="92" t="n"/>
      <c r="T65" s="92" t="n"/>
      <c r="U65" s="92" t="n"/>
      <c r="V65" s="92" t="n"/>
      <c r="W65" s="92" t="n"/>
      <c r="X65" s="92" t="n"/>
      <c r="Y65" s="92" t="n"/>
      <c r="Z65" s="92" t="n"/>
      <c r="AA65" s="92" t="n"/>
      <c r="AB65" s="92" t="n"/>
      <c r="AC65" s="92" t="n"/>
      <c r="AD65" s="92" t="n"/>
    </row>
    <row r="66" ht="20" customHeight="1">
      <c r="B66" s="113" t="inlineStr">
        <is>
          <t>Đầu ra HK1: giải thích được luồng CPU; baseline RV32 chạy bare-metal; bộ đo cycle; reference và 2 benchmark dot-product/complex multiply; profiling ban đầu; báo cáo và hướng HK2. Core và kit chưa chốt. Thời gian là ước lượng cho người mới; đánh giá lại sau 2 tuần.</t>
        </is>
      </c>
    </row>
    <row r="67" ht="20" customHeight="1"/>
    <row r="68" ht="20" customHeight="1"/>
  </sheetData>
  <mergeCells count="58">
    <mergeCell ref="N57:W57"/>
    <mergeCell ref="S2:AD2"/>
    <mergeCell ref="K4:AD4"/>
    <mergeCell ref="K48:N48"/>
    <mergeCell ref="O53:P53"/>
    <mergeCell ref="N59:W59"/>
    <mergeCell ref="K53:N53"/>
    <mergeCell ref="F6:G6"/>
    <mergeCell ref="S5:V5"/>
    <mergeCell ref="B66:AD68"/>
    <mergeCell ref="K58:M58"/>
    <mergeCell ref="K56:M56"/>
    <mergeCell ref="K59:M59"/>
    <mergeCell ref="X59:AD59"/>
    <mergeCell ref="K6:N6"/>
    <mergeCell ref="H6:I6"/>
    <mergeCell ref="K45:AD45"/>
    <mergeCell ref="O49:P49"/>
    <mergeCell ref="X56:AD56"/>
    <mergeCell ref="F5:G5"/>
    <mergeCell ref="K49:N49"/>
    <mergeCell ref="N55:W55"/>
    <mergeCell ref="B2:R2"/>
    <mergeCell ref="O6:R6"/>
    <mergeCell ref="B8:I8"/>
    <mergeCell ref="K5:N5"/>
    <mergeCell ref="W6:Z6"/>
    <mergeCell ref="K57:M57"/>
    <mergeCell ref="W5:Z5"/>
    <mergeCell ref="X57:AD57"/>
    <mergeCell ref="O50:P50"/>
    <mergeCell ref="O51:P51"/>
    <mergeCell ref="K51:N51"/>
    <mergeCell ref="AA6:AD6"/>
    <mergeCell ref="O5:R5"/>
    <mergeCell ref="K47:N47"/>
    <mergeCell ref="R47:AD50"/>
    <mergeCell ref="N56:W56"/>
    <mergeCell ref="O47:P47"/>
    <mergeCell ref="K8:AD8"/>
    <mergeCell ref="AA5:AD5"/>
    <mergeCell ref="C6:E6"/>
    <mergeCell ref="O52:P52"/>
    <mergeCell ref="K50:N50"/>
    <mergeCell ref="B41:AD42"/>
    <mergeCell ref="O48:P48"/>
    <mergeCell ref="N58:W58"/>
    <mergeCell ref="C5:E5"/>
    <mergeCell ref="K61:AD63"/>
    <mergeCell ref="R52:AD53"/>
    <mergeCell ref="H5:I5"/>
    <mergeCell ref="K52:N52"/>
    <mergeCell ref="K55:M55"/>
    <mergeCell ref="X55:AD55"/>
    <mergeCell ref="B45:I45"/>
    <mergeCell ref="X58:AD58"/>
    <mergeCell ref="S6:V6"/>
    <mergeCell ref="B4:I4"/>
  </mergeCells>
  <conditionalFormatting sqref="E10:E39">
    <cfRule type="expression" priority="1" dxfId="10">
      <formula>$E10="Complete"</formula>
    </cfRule>
    <cfRule type="expression" priority="2" dxfId="9">
      <formula>$E10="In Progress"</formula>
    </cfRule>
    <cfRule type="expression" priority="3" dxfId="6">
      <formula>$E10="At Risk"</formula>
    </cfRule>
    <cfRule type="expression" priority="4" dxfId="4">
      <formula>$E10="Not Started"</formula>
    </cfRule>
  </conditionalFormatting>
  <conditionalFormatting sqref="F10:F39">
    <cfRule type="expression" priority="5" dxfId="6">
      <formula>$F10="P0"</formula>
    </cfRule>
    <cfRule type="expression" priority="6" dxfId="5">
      <formula>$F10="P1"</formula>
    </cfRule>
    <cfRule type="expression" priority="7" dxfId="4">
      <formula>$F10="P2"</formula>
    </cfRule>
  </conditionalFormatting>
  <conditionalFormatting sqref="K10:AD39">
    <cfRule type="expression" priority="8" dxfId="3">
      <formula>AND(K10=1,$E10="Complete")</formula>
    </cfRule>
    <cfRule type="expression" priority="9" dxfId="2">
      <formula>AND(K10=1,$E10="In Progress")</formula>
    </cfRule>
    <cfRule type="expression" priority="10" dxfId="1">
      <formula>AND(K10=1,$E10="At Risk")</formula>
    </cfRule>
    <cfRule type="expression" priority="11" dxfId="0">
      <formula>AND(K10=1,$E10="Not Started")</formula>
    </cfRule>
  </conditionalFormatting>
  <conditionalFormatting sqref="O52:P53">
    <cfRule type="expression" priority="12" dxfId="11">
      <formula>O52&gt;0</formula>
    </cfRule>
  </conditionalFormatting>
  <conditionalFormatting sqref="I48:I63">
    <cfRule type="expression" priority="13" dxfId="11">
      <formula>$I48="Quá tải"</formula>
    </cfRule>
    <cfRule type="expression" priority="14" dxfId="14">
      <formula>$I48="Thiếu lịch"</formula>
    </cfRule>
  </conditionalFormatting>
  <dataValidations count="6">
    <dataValidation sqref="B10:B39" showDropDown="0" showInputMessage="0" showErrorMessage="0" allowBlank="0" type="list">
      <formula1>"CA 1A,CA 1B,Đồ án 1A,Đồ án 1B,Mốc 1A,Mốc 1B"</formula1>
    </dataValidation>
    <dataValidation sqref="D10:D39" showDropDown="0" showInputMessage="0" showErrorMessage="0" allowBlank="0" type="list">
      <formula1>"Nguyễn Hải Minh"</formula1>
    </dataValidation>
    <dataValidation sqref="E10:E39" showDropDown="0" showInputMessage="0" showErrorMessage="0" allowBlank="0" type="list">
      <formula1>"Not Started,In Progress,At Risk,Complete"</formula1>
    </dataValidation>
    <dataValidation sqref="F10:F39" showDropDown="0" showInputMessage="0" showErrorMessage="0" allowBlank="0" type="list">
      <formula1>"P0,P1,P2"</formula1>
    </dataValidation>
    <dataValidation sqref="O47" showDropDown="0" showInputMessage="0" showErrorMessage="0" allowBlank="0" type="whole" operator="between">
      <formula1>1</formula1>
      <formula2>80</formula2>
    </dataValidation>
    <dataValidation sqref="O48" showDropDown="0" showInputMessage="0" showErrorMessage="0" allowBlank="0" type="whole" operator="between">
      <formula1>0</formula1>
      <formula2>40</formula2>
    </dataValidation>
  </dataValidations>
  <pageMargins left="0.7" right="0.7" top="0.75" bottom="0.75" header="0.3" footer="0.3"/>
</worksheet>
</file>

<file path=xl/worksheets/sheet2.xml><?xml version="1.0" encoding="utf-8"?>
<worksheet xmlns="http://schemas.openxmlformats.org/spreadsheetml/2006/main">
  <sheetPr>
    <tabColor rgb="FF5E4CC7"/>
    <outlinePr summaryBelow="1" summaryRight="1"/>
    <pageSetUpPr/>
  </sheetPr>
  <dimension ref="A1:N60"/>
  <sheetViews>
    <sheetView showGridLines="0" workbookViewId="0">
      <pane ySplit="7" topLeftCell="A8" activePane="bottomLeft" state="frozen"/>
      <selection activeCell="A1" sqref="A1"/>
    </sheetView>
  </sheetViews>
  <sheetFormatPr baseColWidth="8" defaultRowHeight="15"/>
  <cols>
    <col width="3.299999952316284" customWidth="1" min="1" max="1"/>
    <col width="8" customWidth="1" min="2" max="2"/>
    <col width="12" customWidth="1" min="3" max="3"/>
    <col width="11" customWidth="1" min="4" max="4"/>
    <col width="9" customWidth="1" min="5" max="5"/>
    <col width="9" customWidth="1" min="6" max="6"/>
    <col width="10" customWidth="1" min="7" max="7"/>
    <col width="48" customWidth="1" min="8" max="8"/>
    <col width="48" customWidth="1" min="9" max="9"/>
    <col width="22" customWidth="1" min="10" max="10"/>
    <col width="22" customWidth="1" min="11" max="11"/>
    <col width="10" customWidth="1" min="12" max="12"/>
    <col width="32" customWidth="1" min="13" max="13"/>
    <col width="12" customWidth="1" min="14" max="14"/>
  </cols>
  <sheetData>
    <row r="1"/>
    <row r="2" ht="32" customHeight="1">
      <c r="B2" s="60" t="inlineStr">
        <is>
          <t>Chi tiết HK1 và lộ trình Computer Architecture</t>
        </is>
      </c>
    </row>
    <row r="3">
      <c r="B3" s="58" t="n"/>
      <c r="C3" s="58" t="n"/>
      <c r="D3" s="58" t="n"/>
      <c r="E3" s="58" t="n"/>
      <c r="F3" s="58" t="n"/>
      <c r="G3" s="58" t="n"/>
      <c r="H3" s="58" t="n"/>
      <c r="I3" s="58" t="n"/>
      <c r="J3" s="58" t="n"/>
      <c r="K3" s="58" t="n"/>
      <c r="L3" s="58" t="n"/>
      <c r="M3" s="58" t="n"/>
      <c r="N3" s="58" t="n"/>
    </row>
    <row r="4" ht="24" customHeight="1">
      <c r="B4" s="62" t="inlineStr">
        <is>
          <t>Mỗi tuần: học một khái niệm, làm bài nhỏ, giải thích bằng lời của mình rồi lưu bằng chứng. Ô vàng là tuần/giờ có thể sửa; trạng thái cập nhật ở Project Plan. Giờ dự kiến phân bổ đều trong số tuần của mục; đây là ước lượng, cần cập nhật sau 2 tuần đầu. Mốc review có 0 giờ vì thời gian đã nằm trong công việc tuần tương ứng.</t>
        </is>
      </c>
    </row>
    <row r="5" ht="24" customHeight="1"/>
    <row r="6">
      <c r="B6" s="58" t="n"/>
      <c r="C6" s="58" t="n"/>
      <c r="D6" s="58" t="n"/>
      <c r="E6" s="58" t="n"/>
      <c r="F6" s="58" t="n"/>
      <c r="G6" s="58" t="n"/>
      <c r="H6" s="58" t="n"/>
      <c r="I6" s="58" t="n"/>
      <c r="J6" s="58" t="n"/>
      <c r="K6" s="58" t="n"/>
      <c r="L6" s="58" t="n"/>
      <c r="M6" s="58" t="n"/>
      <c r="N6" s="58" t="n"/>
    </row>
    <row r="7" ht="32" customHeight="1">
      <c r="B7" s="66" t="inlineStr">
        <is>
          <t>ID</t>
        </is>
      </c>
      <c r="C7" s="66" t="inlineStr">
        <is>
          <t>Đợt</t>
        </is>
      </c>
      <c r="D7" s="66" t="inlineStr">
        <is>
          <t>Loại</t>
        </is>
      </c>
      <c r="E7" s="66" t="inlineStr">
        <is>
          <t>Từ tuần</t>
        </is>
      </c>
      <c r="F7" s="66" t="inlineStr">
        <is>
          <t>Đến tuần</t>
        </is>
      </c>
      <c r="G7" s="66" t="inlineStr">
        <is>
          <t>Giờ dự kiến</t>
        </is>
      </c>
      <c r="H7" s="66" t="inlineStr">
        <is>
          <t>Học và thực hành</t>
        </is>
      </c>
      <c r="I7" s="66" t="inlineStr">
        <is>
          <t>Điều kiện hoàn thành</t>
        </is>
      </c>
      <c r="J7" s="66" t="inlineStr">
        <is>
          <t>Phụ thuộc</t>
        </is>
      </c>
      <c r="K7" s="66" t="inlineStr">
        <is>
          <t>Học liệu</t>
        </is>
      </c>
      <c r="L7" s="66" t="inlineStr">
        <is>
          <t>Giờ/tuần</t>
        </is>
      </c>
      <c r="M7" s="66" t="inlineStr">
        <is>
          <t>Bằng chứng / ghi chú</t>
        </is>
      </c>
      <c r="N7" s="66" t="inlineStr">
        <is>
          <t>Giờ thực tế</t>
        </is>
      </c>
    </row>
    <row r="8" ht="82" customHeight="1">
      <c r="B8" s="77" t="inlineStr">
        <is>
          <t>C01</t>
        </is>
      </c>
      <c r="C8" s="77" t="inlineStr">
        <is>
          <t>2026.1A</t>
        </is>
      </c>
      <c r="D8" s="77" t="inlineStr">
        <is>
          <t>Học CA</t>
        </is>
      </c>
      <c r="E8" s="143" t="n">
        <v>1</v>
      </c>
      <c r="F8" s="143" t="n">
        <v>1</v>
      </c>
      <c r="G8" s="143" t="n">
        <v>4</v>
      </c>
      <c r="H8" s="71" t="inlineStr">
        <is>
          <t>Học binary/hex, two's complement, signed/unsigned, bitwise, con trỏ và mảng C. Làm 8 bài ngắn, chạy một chương trình tổng mảng.</t>
        </is>
      </c>
      <c r="I8" s="72" t="inlineStr">
        <is>
          <t>Tự đổi biểu diễn số; giải thích overflow và địa chỉ phần tử mảng. Lưu bài giải và chương trình C có kết quả đúng.</t>
        </is>
      </c>
      <c r="J8" s="70" t="str"/>
      <c r="K8" s="70" t="inlineStr">
        <is>
          <t>R8 (sách chính); R1</t>
        </is>
      </c>
      <c r="L8" s="144">
        <f>IF(OR(NOT(ISNUMBER(E8)),NOT(ISNUMBER(F8)),NOT(ISNUMBER(G8)),F8&lt;E8),"",G8/(F8-E8+1))</f>
        <v/>
      </c>
      <c r="M8" s="145" t="n"/>
      <c r="N8" s="146" t="n"/>
    </row>
    <row r="9" ht="82" customHeight="1">
      <c r="B9" s="79" t="inlineStr">
        <is>
          <t>C02</t>
        </is>
      </c>
      <c r="C9" s="79" t="inlineStr">
        <is>
          <t>2026.1A</t>
        </is>
      </c>
      <c r="D9" s="79" t="inlineStr">
        <is>
          <t>Học CA</t>
        </is>
      </c>
      <c r="E9" s="143" t="n">
        <v>2</v>
      </c>
      <c r="F9" s="143" t="n">
        <v>2</v>
      </c>
      <c r="G9" s="143" t="n">
        <v>4</v>
      </c>
      <c r="H9" s="74" t="inlineStr">
        <is>
          <t>Học mux, adder, register, clock/reset và FSM. Đọc mô tả RTL; sửa một ALU nhỏ hoặc bộ đếm trong ví dụ, xem waveform.</t>
        </is>
      </c>
      <c r="I9" s="75" t="inlineStr">
        <is>
          <t>Phân biệt logic tổ hợp/tuần tự; chỉ ra thời điểm register đổi giá trị. Testbench của bài nhỏ đạt các ca đã liệt kê.</t>
        </is>
      </c>
      <c r="J9" s="73" t="inlineStr">
        <is>
          <t>C01</t>
        </is>
      </c>
      <c r="K9" s="73" t="inlineStr">
        <is>
          <t>R8 (sách chính); R1; R3 bổ trợ</t>
        </is>
      </c>
      <c r="L9" s="147">
        <f>IF(OR(NOT(ISNUMBER(E9)),NOT(ISNUMBER(F9)),NOT(ISNUMBER(G9)),F9&lt;E9),"",G9/(F9-E9+1))</f>
        <v/>
      </c>
      <c r="M9" s="145" t="n"/>
      <c r="N9" s="146" t="n"/>
    </row>
    <row r="10" ht="82" customHeight="1">
      <c r="B10" s="77" t="inlineStr">
        <is>
          <t>C03</t>
        </is>
      </c>
      <c r="C10" s="77" t="inlineStr">
        <is>
          <t>2026.1A</t>
        </is>
      </c>
      <c r="D10" s="77" t="inlineStr">
        <is>
          <t>Học CA</t>
        </is>
      </c>
      <c r="E10" s="143" t="n">
        <v>3</v>
      </c>
      <c r="F10" s="143" t="n">
        <v>4</v>
      </c>
      <c r="G10" s="143" t="n">
        <v>8</v>
      </c>
      <c r="H10" s="71" t="inlineStr">
        <is>
          <t>Học PC, register file, load/store, add/sub, shift và branch. Dùng Ripes để step đoạn assembly tính tổng mảng và theo dõi register/memory.</t>
        </is>
      </c>
      <c r="I10" s="72" t="inlineStr">
        <is>
          <t>Tự viết vòng lặp tổng mảng; dự đoán PC và giá trị thanh ghi cho 10 lệnh liên tiếp, rồi kiểm tra bằng simulator.</t>
        </is>
      </c>
      <c r="J10" s="70" t="inlineStr">
        <is>
          <t>C01, C02</t>
        </is>
      </c>
      <c r="K10" s="70" t="inlineStr">
        <is>
          <t>R8 (sách chính); R1; R2; R4 tra cứu</t>
        </is>
      </c>
      <c r="L10" s="144">
        <f>IF(OR(NOT(ISNUMBER(E10)),NOT(ISNUMBER(F10)),NOT(ISNUMBER(G10)),F10&lt;E10),"",G10/(F10-E10+1))</f>
        <v/>
      </c>
      <c r="M10" s="145" t="n"/>
      <c r="N10" s="146" t="n"/>
    </row>
    <row r="11" ht="82" customHeight="1">
      <c r="B11" s="79" t="inlineStr">
        <is>
          <t>C04</t>
        </is>
      </c>
      <c r="C11" s="79" t="inlineStr">
        <is>
          <t>2026.1A</t>
        </is>
      </c>
      <c r="D11" s="79" t="inlineStr">
        <is>
          <t>Học CA</t>
        </is>
      </c>
      <c r="E11" s="143" t="n">
        <v>5</v>
      </c>
      <c r="F11" s="143" t="n">
        <v>5</v>
      </c>
      <c r="G11" s="143" t="n">
        <v>4</v>
      </c>
      <c r="H11" s="74" t="inlineStr">
        <is>
          <t>Học call/return, stack, caller/callee-saved registers. Theo dõi C thành assembly, object, ELF; nhận biết startup và linker script.</t>
        </is>
      </c>
      <c r="I11" s="75" t="inlineStr">
        <is>
          <t>Giải thích một hàm C gọi hàm khác: đối số, giá trị trả về, stack. Chỉ ra vùng code/data/stack trong map hoặc ELF.</t>
        </is>
      </c>
      <c r="J11" s="73" t="inlineStr">
        <is>
          <t>C03</t>
        </is>
      </c>
      <c r="K11" s="73" t="inlineStr">
        <is>
          <t>R8 (sách chính); R1</t>
        </is>
      </c>
      <c r="L11" s="147">
        <f>IF(OR(NOT(ISNUMBER(E11)),NOT(ISNUMBER(F11)),NOT(ISNUMBER(G11)),F11&lt;E11),"",G11/(F11-E11+1))</f>
        <v/>
      </c>
      <c r="M11" s="145" t="n"/>
      <c r="N11" s="146" t="n"/>
    </row>
    <row r="12" ht="82" customHeight="1">
      <c r="B12" s="77" t="inlineStr">
        <is>
          <t>C05</t>
        </is>
      </c>
      <c r="C12" s="77" t="inlineStr">
        <is>
          <t>2026.1A</t>
        </is>
      </c>
      <c r="D12" s="77" t="inlineStr">
        <is>
          <t>Học CA</t>
        </is>
      </c>
      <c r="E12" s="143" t="n">
        <v>6</v>
      </c>
      <c r="F12" s="143" t="n">
        <v>6</v>
      </c>
      <c r="G12" s="143" t="n">
        <v>4</v>
      </c>
      <c r="H12" s="71" t="inlineStr">
        <is>
          <t>Học single-cycle và multi-cycle ở mức khái niệm. Vẽ đường dữ liệu cho add, load và branch; nối tín hiệu điều khiển với thao tác.</t>
        </is>
      </c>
      <c r="I12" s="72" t="inlineStr">
        <is>
          <t>Tự vẽ và giải thích fetch/decode/execute/memory/write-back cho 3 lệnh; phân biệt ISA với microarchitecture.</t>
        </is>
      </c>
      <c r="J12" s="70" t="inlineStr">
        <is>
          <t>C03</t>
        </is>
      </c>
      <c r="K12" s="70" t="inlineStr">
        <is>
          <t>R8 (sách chính); R1; R2</t>
        </is>
      </c>
      <c r="L12" s="144">
        <f>IF(OR(NOT(ISNUMBER(E12)),NOT(ISNUMBER(F12)),NOT(ISNUMBER(G12)),F12&lt;E12),"",G12/(F12-E12+1))</f>
        <v/>
      </c>
      <c r="M12" s="145" t="n"/>
      <c r="N12" s="146" t="n"/>
    </row>
    <row r="13" ht="82" customHeight="1">
      <c r="B13" s="79" t="inlineStr">
        <is>
          <t>C06</t>
        </is>
      </c>
      <c r="C13" s="79" t="inlineStr">
        <is>
          <t>2026.1A</t>
        </is>
      </c>
      <c r="D13" s="79" t="inlineStr">
        <is>
          <t>Học CA</t>
        </is>
      </c>
      <c r="E13" s="143" t="n">
        <v>7</v>
      </c>
      <c r="F13" s="143" t="n">
        <v>8</v>
      </c>
      <c r="G13" s="143" t="n">
        <v>8</v>
      </c>
      <c r="H13" s="74" t="inlineStr">
        <is>
          <t>Học pipeline, data/control hazard, stall và forwarding. Chạy 2 đoạn lệnh trên các mô hình Ripes; tính cycle và CPI trước khi đo.</t>
        </is>
      </c>
      <c r="I13" s="75" t="inlineStr">
        <is>
          <t>Chỉ ra ít nhất một data hazard và một branch hazard; giải thích chênh lệch cycle. Nêu rõ mô hình Ripes không phải timing của core FPGA đã chọn.</t>
        </is>
      </c>
      <c r="J13" s="73" t="inlineStr">
        <is>
          <t>C05</t>
        </is>
      </c>
      <c r="K13" s="73" t="inlineStr">
        <is>
          <t>R8 (sách chính); R1; R2</t>
        </is>
      </c>
      <c r="L13" s="147">
        <f>IF(OR(NOT(ISNUMBER(E13)),NOT(ISNUMBER(F13)),NOT(ISNUMBER(G13)),F13&lt;E13),"",G13/(F13-E13+1))</f>
        <v/>
      </c>
      <c r="M13" s="145" t="n"/>
      <c r="N13" s="146" t="n"/>
    </row>
    <row r="14" ht="82" customHeight="1">
      <c r="B14" s="77" t="inlineStr">
        <is>
          <t>C07</t>
        </is>
      </c>
      <c r="C14" s="77" t="inlineStr">
        <is>
          <t>2026.1B</t>
        </is>
      </c>
      <c r="D14" s="77" t="inlineStr">
        <is>
          <t>Học CA</t>
        </is>
      </c>
      <c r="E14" s="143" t="n">
        <v>9</v>
      </c>
      <c r="F14" s="143" t="n">
        <v>10</v>
      </c>
      <c r="G14" s="143" t="n">
        <v>6</v>
      </c>
      <c r="H14" s="71" t="inlineStr">
        <is>
          <t>Học memory hierarchy, cache cơ bản, BRAM latency và memory-mapped I/O. Đọc memory map và một giao dịch request/response của core.</t>
        </is>
      </c>
      <c r="I14" s="72" t="inlineStr">
        <is>
          <t>Giải thích một load và một UART write đi qua hệ thống; chỉ ra wait-state. Mô tả cấu hình bộ nhớ đang dùng trong baseline.</t>
        </is>
      </c>
      <c r="J14" s="70" t="inlineStr">
        <is>
          <t>C06</t>
        </is>
      </c>
      <c r="K14" s="70" t="inlineStr">
        <is>
          <t>R8 (sách chính); R1; R5 hoặc R6</t>
        </is>
      </c>
      <c r="L14" s="144">
        <f>IF(OR(NOT(ISNUMBER(E14)),NOT(ISNUMBER(F14)),NOT(ISNUMBER(G14)),F14&lt;E14),"",G14/(F14-E14+1))</f>
        <v/>
      </c>
      <c r="M14" s="145" t="n"/>
      <c r="N14" s="146" t="n"/>
    </row>
    <row r="15" ht="82" customHeight="1">
      <c r="B15" s="79" t="inlineStr">
        <is>
          <t>C08</t>
        </is>
      </c>
      <c r="C15" s="79" t="inlineStr">
        <is>
          <t>2026.1B</t>
        </is>
      </c>
      <c r="D15" s="79" t="inlineStr">
        <is>
          <t>Học CA</t>
        </is>
      </c>
      <c r="E15" s="143" t="n">
        <v>11</v>
      </c>
      <c r="F15" s="143" t="n">
        <v>12</v>
      </c>
      <c r="G15" s="143" t="n">
        <v>6</v>
      </c>
      <c r="H15" s="74" t="inlineStr">
        <is>
          <t>Học Q-format, sign extension, độ rộng tích và accumulator; quy tắc rounding, saturation/wrap. Làm ví dụ số nhỏ rồi kiểm tra bằng Python.</t>
        </is>
      </c>
      <c r="I15" s="75" t="inlineStr">
        <is>
          <t>Giải thích mỗi bước đổi độ rộng của một phép nhân/tích lũy; viết ca biên âm/dương/overflow. Ngữ nghĩa C và reference nhất quán.</t>
        </is>
      </c>
      <c r="J15" s="73" t="inlineStr">
        <is>
          <t>C01, C04</t>
        </is>
      </c>
      <c r="K15" s="73" t="inlineStr">
        <is>
          <t>R4 về phép toán; D1 mục 2.2</t>
        </is>
      </c>
      <c r="L15" s="147">
        <f>IF(OR(NOT(ISNUMBER(E15)),NOT(ISNUMBER(F15)),NOT(ISNUMBER(G15)),F15&lt;E15),"",G15/(F15-E15+1))</f>
        <v/>
      </c>
      <c r="M15" s="145" t="n"/>
      <c r="N15" s="146" t="n"/>
    </row>
    <row r="16" ht="82" customHeight="1">
      <c r="B16" s="77" t="inlineStr">
        <is>
          <t>C09</t>
        </is>
      </c>
      <c r="C16" s="77" t="inlineStr">
        <is>
          <t>2026.1B</t>
        </is>
      </c>
      <c r="D16" s="77" t="inlineStr">
        <is>
          <t>Học CA</t>
        </is>
      </c>
      <c r="E16" s="143" t="n">
        <v>13</v>
      </c>
      <c r="F16" s="143" t="n">
        <v>14</v>
      </c>
      <c r="G16" s="143" t="n">
        <v>4</v>
      </c>
      <c r="H16" s="71" t="inlineStr">
        <is>
          <t>Ôn instruction count, cycle, CPI, thời gian = cycle/clock và Amdahl. Đọc timing/resource report; phân biệt clock đang chạy với Fmax ước lượng.</t>
        </is>
      </c>
      <c r="I16" s="72" t="inlineStr">
        <is>
          <t>Tính speedup có cả clock; giải thích một trường hợp giảm cycle mà thời gian tăng. Chỉ ra vùng đo và overhead trong benchmark của mình.</t>
        </is>
      </c>
      <c r="J16" s="70" t="inlineStr">
        <is>
          <t>C06, C07</t>
        </is>
      </c>
      <c r="K16" s="70" t="inlineStr">
        <is>
          <t>R8 (sách chính); R1; tài liệu tool của board</t>
        </is>
      </c>
      <c r="L16" s="144">
        <f>IF(OR(NOT(ISNUMBER(E16)),NOT(ISNUMBER(F16)),NOT(ISNUMBER(G16)),F16&lt;E16),"",G16/(F16-E16+1))</f>
        <v/>
      </c>
      <c r="M16" s="145" t="n"/>
      <c r="N16" s="146" t="n"/>
    </row>
    <row r="17" ht="82" customHeight="1">
      <c r="B17" s="79" t="inlineStr">
        <is>
          <t>C10</t>
        </is>
      </c>
      <c r="C17" s="79" t="inlineStr">
        <is>
          <t>2026.1B</t>
        </is>
      </c>
      <c r="D17" s="79" t="inlineStr">
        <is>
          <t>Học CA</t>
        </is>
      </c>
      <c r="E17" s="143" t="n">
        <v>15</v>
      </c>
      <c r="F17" s="143" t="n">
        <v>16</v>
      </c>
      <c r="G17" s="143" t="n">
        <v>4</v>
      </c>
      <c r="H17" s="74" t="inlineStr">
        <is>
          <t>Học ngữ nghĩa lệnh, encoding, số toán hạng, latency, handshake và write-back. Theo dõi một ví dụ extension có sẵn; tổng ôn toàn bộ luồng C tới FPGA.</t>
        </is>
      </c>
      <c r="I17" s="75" t="inlineStr">
        <is>
          <t>Mô tả được một primitive 2 nguồn/1 đích và hạn chế dữ liệu; giải thích được luồng thực thi của baseline mà không đọc chép README.</t>
        </is>
      </c>
      <c r="J17" s="73" t="inlineStr">
        <is>
          <t>C08, C09</t>
        </is>
      </c>
      <c r="K17" s="73" t="inlineStr">
        <is>
          <t>R8 (sách chính); R4; R5 hoặc R6</t>
        </is>
      </c>
      <c r="L17" s="147">
        <f>IF(OR(NOT(ISNUMBER(E17)),NOT(ISNUMBER(F17)),NOT(ISNUMBER(G17)),F17&lt;E17),"",G17/(F17-E17+1))</f>
        <v/>
      </c>
      <c r="M17" s="145" t="n"/>
      <c r="N17" s="146" t="n"/>
    </row>
    <row r="18" ht="82" customHeight="1">
      <c r="B18" s="77" t="inlineStr">
        <is>
          <t>P01</t>
        </is>
      </c>
      <c r="C18" s="77" t="inlineStr">
        <is>
          <t>2026.1A</t>
        </is>
      </c>
      <c r="D18" s="77" t="inlineStr">
        <is>
          <t>Đồ án</t>
        </is>
      </c>
      <c r="E18" s="143" t="n">
        <v>1</v>
      </c>
      <c r="F18" s="143" t="n">
        <v>1</v>
      </c>
      <c r="G18" s="143" t="n">
        <v>4</v>
      </c>
      <c r="H18" s="71" t="inlineStr">
        <is>
          <t>Ghi kỹ năng C/RTL/Linux hiện có; mục tiêu HK1; giờ học thực tế; kit, máy lab/server và license có thể dùng. Trao đổi mục tiêu với thầy khi có lịch.</t>
        </is>
      </c>
      <c r="I18" s="72" t="inlineStr">
        <is>
          <t>Một trang scope HK1 và danh sách điểm chưa chốt. Chọn 3 buổi học/làm cố định; cập nhật công suất tuần trong tracker theo thực tế.</t>
        </is>
      </c>
      <c r="J18" s="70" t="str"/>
      <c r="K18" s="70" t="inlineStr">
        <is>
          <t>D1; kế hoạch trong chat</t>
        </is>
      </c>
      <c r="L18" s="144">
        <f>IF(OR(NOT(ISNUMBER(E18)),NOT(ISNUMBER(F18)),NOT(ISNUMBER(G18)),F18&lt;E18),"",G18/(F18-E18+1))</f>
        <v/>
      </c>
      <c r="M18" s="145" t="n"/>
      <c r="N18" s="146" t="n"/>
    </row>
    <row r="19" ht="82" customHeight="1">
      <c r="B19" s="79" t="inlineStr">
        <is>
          <t>P02</t>
        </is>
      </c>
      <c r="C19" s="79" t="inlineStr">
        <is>
          <t>2026.1A</t>
        </is>
      </c>
      <c r="D19" s="79" t="inlineStr">
        <is>
          <t>Đồ án</t>
        </is>
      </c>
      <c r="E19" s="143" t="n">
        <v>2</v>
      </c>
      <c r="F19" s="143" t="n">
        <v>2</v>
      </c>
      <c r="G19" s="143" t="n">
        <v>4</v>
      </c>
      <c r="H19" s="74" t="inlineStr">
        <is>
          <t>Tạo repo, README và nhật ký tuần. Chạy C/Python cơ bản, mở Ripes. Ghi cách sao lưu và ghi nhận phiên bản công cụ; thử mô phỏng RTL nhỏ nếu đủ thời gian.</t>
        </is>
      </c>
      <c r="I19" s="75" t="inlineStr">
        <is>
          <t>Chạy lại được các lệnh cơ bản từ README. Có commit đầu tiên và nơi lưu log, mã nguồn, reference, kết quả riêng biệt.</t>
        </is>
      </c>
      <c r="J19" s="73" t="inlineStr">
        <is>
          <t>P01</t>
        </is>
      </c>
      <c r="K19" s="73" t="inlineStr">
        <is>
          <t>R2</t>
        </is>
      </c>
      <c r="L19" s="147">
        <f>IF(OR(NOT(ISNUMBER(E19)),NOT(ISNUMBER(F19)),NOT(ISNUMBER(G19)),F19&lt;E19),"",G19/(F19-E19+1))</f>
        <v/>
      </c>
      <c r="M19" s="145" t="n"/>
      <c r="N19" s="146" t="n"/>
    </row>
    <row r="20" ht="82" customHeight="1">
      <c r="B20" s="77" t="inlineStr">
        <is>
          <t>P03</t>
        </is>
      </c>
      <c r="C20" s="77" t="inlineStr">
        <is>
          <t>2026.1A</t>
        </is>
      </c>
      <c r="D20" s="77" t="inlineStr">
        <is>
          <t>Đồ án</t>
        </is>
      </c>
      <c r="E20" s="143" t="n">
        <v>3</v>
      </c>
      <c r="F20" s="143" t="n">
        <v>3</v>
      </c>
      <c r="G20" s="143" t="n">
        <v>4</v>
      </c>
      <c r="H20" s="71" t="inlineStr">
        <is>
          <t>So sánh tối đa 2 nền tảng theo demo sẵn, ngôn ngữ RTL, ngoại vi, phép đo, giao diện mở rộng và board hỗ trợ. Ưu tiên kit/mã nguồn có sẵn ở lab.</t>
        </is>
      </c>
      <c r="I20" s="72" t="inlineStr">
        <is>
          <t>Bảng so sánh 2 ứng viên và một lựa chọn tạm. Ghi rõ còn thiếu board, công cụ hay kiến thức gì; không mua kit chỉ dựa vào giá.</t>
        </is>
      </c>
      <c r="J20" s="70" t="inlineStr">
        <is>
          <t>P01, P02</t>
        </is>
      </c>
      <c r="K20" s="70" t="inlineStr">
        <is>
          <t>R5; R6</t>
        </is>
      </c>
      <c r="L20" s="144">
        <f>IF(OR(NOT(ISNUMBER(E20)),NOT(ISNUMBER(F20)),NOT(ISNUMBER(G20)),F20&lt;E20),"",G20/(F20-E20+1))</f>
        <v/>
      </c>
      <c r="M20" s="145" t="n"/>
      <c r="N20" s="146" t="n"/>
    </row>
    <row r="21" ht="82" customHeight="1">
      <c r="B21" s="79" t="inlineStr">
        <is>
          <t>P04</t>
        </is>
      </c>
      <c r="C21" s="79" t="inlineStr">
        <is>
          <t>2026.1A</t>
        </is>
      </c>
      <c r="D21" s="79" t="inlineStr">
        <is>
          <t>Đồ án</t>
        </is>
      </c>
      <c r="E21" s="143" t="n">
        <v>4</v>
      </c>
      <c r="F21" s="143" t="n">
        <v>4</v>
      </c>
      <c r="G21" s="143" t="n">
        <v>4</v>
      </c>
      <c r="H21" s="74" t="inlineStr">
        <is>
          <t>Đọc có hướng dẫn 2 công trình gần đề tài trong danh mục đính kèm. Ghi workload, baseline, lệnh, metric, hạn chế; tra các thuật ngữ chưa hiểu.</t>
        </is>
      </c>
      <c r="I21" s="75" t="inlineStr">
        <is>
          <t>Hai hàng literature review có dẫn nguồn và câu hỏi của mình. Phân biệt kết quả của bài báo với giả thuyết sẽ kiểm tra trong luận văn.</t>
        </is>
      </c>
      <c r="J21" s="73" t="inlineStr">
        <is>
          <t>P03</t>
        </is>
      </c>
      <c r="K21" s="73" t="inlineStr">
        <is>
          <t>D1 tài liệu [1], [2], [6]</t>
        </is>
      </c>
      <c r="L21" s="147">
        <f>IF(OR(NOT(ISNUMBER(E21)),NOT(ISNUMBER(F21)),NOT(ISNUMBER(G21)),F21&lt;E21),"",G21/(F21-E21+1))</f>
        <v/>
      </c>
      <c r="M21" s="145" t="n"/>
      <c r="N21" s="146" t="n"/>
    </row>
    <row r="22" ht="82" customHeight="1">
      <c r="B22" s="77" t="inlineStr">
        <is>
          <t>P05</t>
        </is>
      </c>
      <c r="C22" s="77" t="inlineStr">
        <is>
          <t>2026.1A</t>
        </is>
      </c>
      <c r="D22" s="77" t="inlineStr">
        <is>
          <t>Đồ án</t>
        </is>
      </c>
      <c r="E22" s="143" t="n">
        <v>5</v>
      </c>
      <c r="F22" s="143" t="n">
        <v>5</v>
      </c>
      <c r="G22" s="143" t="n">
        <v>4</v>
      </c>
      <c r="H22" s="71" t="inlineStr">
        <is>
          <t>Chốt core sau khi chạy thử ví dụ được cung cấp. Cố định commit, compiler, ISA/ABI và multiplier; build ELF rồi chạy C trong mô phỏng RTL.</t>
        </is>
      </c>
      <c r="I22" s="72" t="inlineStr">
        <is>
          <t>Demo C chạy từ clean build, có log và ELF/disassembly. Nếu sau 2 buổi vẫn tắc ở setup, dùng ví dụ/nền tảng có hỗ trợ phù hợp hơn.</t>
        </is>
      </c>
      <c r="J22" s="70" t="inlineStr">
        <is>
          <t>P03, P02</t>
        </is>
      </c>
      <c r="K22" s="70" t="inlineStr">
        <is>
          <t>R5 hoặc R6</t>
        </is>
      </c>
      <c r="L22" s="144">
        <f>IF(OR(NOT(ISNUMBER(E22)),NOT(ISNUMBER(F22)),NOT(ISNUMBER(G22)),F22&lt;E22),"",G22/(F22-E22+1))</f>
        <v/>
      </c>
      <c r="M22" s="145" t="n"/>
      <c r="N22" s="146" t="n"/>
    </row>
    <row r="23" ht="82" customHeight="1">
      <c r="B23" s="79" t="inlineStr">
        <is>
          <t>P06</t>
        </is>
      </c>
      <c r="C23" s="79" t="inlineStr">
        <is>
          <t>2026.1A</t>
        </is>
      </c>
      <c r="D23" s="79" t="inlineStr">
        <is>
          <t>Đồ án</t>
        </is>
      </c>
      <c r="E23" s="143" t="n">
        <v>6</v>
      </c>
      <c r="F23" s="143" t="n">
        <v>6</v>
      </c>
      <c r="G23" s="143" t="n">
        <v>4</v>
      </c>
      <c r="H23" s="74" t="inlineStr">
        <is>
          <t>Lần theo một phép add và một load từ PC tới write-back. Tìm module core, register file, bus và multiplier; chốt sơ đồ hệ thống và kit mục tiêu.</t>
        </is>
      </c>
      <c r="I23" s="75" t="inlineStr">
        <is>
          <t>Waveform có chú thích và sơ đồ khối 1 trang. Giải thích được các tín hiệu chính của lệnh, không cần hiểu toàn bộ RTL ngay.</t>
        </is>
      </c>
      <c r="J23" s="73" t="inlineStr">
        <is>
          <t>P05, C04</t>
        </is>
      </c>
      <c r="K23" s="73" t="inlineStr">
        <is>
          <t>R5 hoặc R6</t>
        </is>
      </c>
      <c r="L23" s="147">
        <f>IF(OR(NOT(ISNUMBER(E23)),NOT(ISNUMBER(F23)),NOT(ISNUMBER(G23)),F23&lt;E23),"",G23/(F23-E23+1))</f>
        <v/>
      </c>
      <c r="M23" s="145" t="n"/>
      <c r="N23" s="146" t="n"/>
    </row>
    <row r="24" ht="82" customHeight="1">
      <c r="B24" s="77" t="inlineStr">
        <is>
          <t>P07</t>
        </is>
      </c>
      <c r="C24" s="77" t="inlineStr">
        <is>
          <t>2026.1A</t>
        </is>
      </c>
      <c r="D24" s="77" t="inlineStr">
        <is>
          <t>Đồ án</t>
        </is>
      </c>
      <c r="E24" s="143" t="n">
        <v>7</v>
      </c>
      <c r="F24" s="143" t="n">
        <v>7</v>
      </c>
      <c r="G24" s="143" t="n">
        <v>4</v>
      </c>
      <c r="H24" s="71" t="inlineStr">
        <is>
          <t>Tận dụng SoC mẫu; kiểm tra BRAM, UART, GPIO/timer cần dùng. Đọc hoặc chỉnh memory map, startup, linker script. Chạy kiểm tra RAM và UART.</t>
        </is>
      </c>
      <c r="I24" s="72" t="inlineStr">
        <is>
          <t>C bare-metal ghi/đọc RAM và phát chuỗi UART trong mô phỏng. Memory map thống nhất giữa RTL và phần mềm; mọi thay đổi được ghi lại.</t>
        </is>
      </c>
      <c r="J24" s="70" t="inlineStr">
        <is>
          <t>P06, C05</t>
        </is>
      </c>
      <c r="K24" s="70" t="inlineStr">
        <is>
          <t>R5 hoặc R6</t>
        </is>
      </c>
      <c r="L24" s="144">
        <f>IF(OR(NOT(ISNUMBER(E24)),NOT(ISNUMBER(F24)),NOT(ISNUMBER(G24)),F24&lt;E24),"",G24/(F24-E24+1))</f>
        <v/>
      </c>
      <c r="M24" s="145" t="n"/>
      <c r="N24" s="146" t="n"/>
    </row>
    <row r="25" ht="82" customHeight="1">
      <c r="B25" s="79" t="inlineStr">
        <is>
          <t>P08</t>
        </is>
      </c>
      <c r="C25" s="79" t="inlineStr">
        <is>
          <t>2026.1A</t>
        </is>
      </c>
      <c r="D25" s="79" t="inlineStr">
        <is>
          <t>Đồ án</t>
        </is>
      </c>
      <c r="E25" s="143" t="n">
        <v>8</v>
      </c>
      <c r="F25" s="143" t="n">
        <v>8</v>
      </c>
      <c r="G25" s="143" t="n">
        <v>4</v>
      </c>
      <c r="H25" s="74" t="inlineStr">
        <is>
          <t>Dùng tuần này sửa tồn đọng và chạy regression nhỏ. Viết hướng dẫn build; review kiến thức, core, toolchain và kế hoạch có board với thầy.</t>
        </is>
      </c>
      <c r="I25" s="75" t="inlineStr">
        <is>
          <t>Baseline mô phỏng tái lập được, sơ đồ và README khớp mã nguồn. Ghi riêng các mục chưa đạt; chỉ chuyển sang đo khi kết quả chức năng ổn.</t>
        </is>
      </c>
      <c r="J25" s="73" t="inlineStr">
        <is>
          <t>P07</t>
        </is>
      </c>
      <c r="K25" s="73" t="inlineStr">
        <is>
          <t>D1 mục 2.5</t>
        </is>
      </c>
      <c r="L25" s="147">
        <f>IF(OR(NOT(ISNUMBER(E25)),NOT(ISNUMBER(F25)),NOT(ISNUMBER(G25)),F25&lt;E25),"",G25/(F25-E25+1))</f>
        <v/>
      </c>
      <c r="M25" s="145" t="n"/>
      <c r="N25" s="146" t="n"/>
    </row>
    <row r="26" ht="82" customHeight="1">
      <c r="B26" s="77" t="inlineStr">
        <is>
          <t>P09</t>
        </is>
      </c>
      <c r="C26" s="77" t="inlineStr">
        <is>
          <t>2026.1B</t>
        </is>
      </c>
      <c r="D26" s="77" t="inlineStr">
        <is>
          <t>Đồ án</t>
        </is>
      </c>
      <c r="E26" s="143" t="n">
        <v>9</v>
      </c>
      <c r="F26" s="143" t="n">
        <v>9</v>
      </c>
      <c r="G26" s="143" t="n">
        <v>5</v>
      </c>
      <c r="H26" s="71" t="inlineStr">
        <is>
          <t>Dùng counter của core hoặc bộ đo tương đương; đo vùng rỗng và vòng lặp. Đưa UART ra ngoài vùng đo, giữ kết quả tránh compiler loại bỏ.</t>
        </is>
      </c>
      <c r="I26" s="72" t="inlineStr">
        <is>
          <t>Có định nghĩa vùng đo, overhead và 3 lần chạy tái lập. Ghi rõ đo trong RTL hay trên board; không dùng cycle Ripes thay baseline.</t>
        </is>
      </c>
      <c r="J26" s="70" t="inlineStr">
        <is>
          <t>P08, C06</t>
        </is>
      </c>
      <c r="K26" s="70" t="inlineStr">
        <is>
          <t>R5 hoặc R6</t>
        </is>
      </c>
      <c r="L26" s="144">
        <f>IF(OR(NOT(ISNUMBER(E26)),NOT(ISNUMBER(F26)),NOT(ISNUMBER(G26)),F26&lt;E26),"",G26/(F26-E26+1))</f>
        <v/>
      </c>
      <c r="M26" s="145" t="n"/>
      <c r="N26" s="146" t="n"/>
    </row>
    <row r="27" ht="82" customHeight="1">
      <c r="B27" s="79" t="inlineStr">
        <is>
          <t>P10</t>
        </is>
      </c>
      <c r="C27" s="79" t="inlineStr">
        <is>
          <t>2026.1B</t>
        </is>
      </c>
      <c r="D27" s="79" t="inlineStr">
        <is>
          <t>Đồ án</t>
        </is>
      </c>
      <c r="E27" s="143" t="n">
        <v>10</v>
      </c>
      <c r="F27" s="143" t="n">
        <v>10</v>
      </c>
      <c r="G27" s="143" t="n">
        <v>5</v>
      </c>
      <c r="H27" s="74" t="inlineStr">
        <is>
          <t>Build ví dụ baseline cho part thực; lưu timing/utilization. Nếu build cloud, giữ tool trên persistent disk, tải bitstream về máy nối kit và nạp/UART.</t>
        </is>
      </c>
      <c r="I27" s="75" t="inlineStr">
        <is>
          <t>Demo C chạy trên kit, có log và cấu hình clock. Nếu chưa có kit, giữ trạng thái At Risk và ghi lịch mượn; mô phỏng/P&amp;R chưa thay cho kiểm chứng board.</t>
        </is>
      </c>
      <c r="J27" s="73" t="inlineStr">
        <is>
          <t>P08, P09</t>
        </is>
      </c>
      <c r="K27" s="73" t="inlineStr">
        <is>
          <t>R7; tài liệu board đã chọn</t>
        </is>
      </c>
      <c r="L27" s="147">
        <f>IF(OR(NOT(ISNUMBER(E27)),NOT(ISNUMBER(F27)),NOT(ISNUMBER(G27)),F27&lt;E27),"",G27/(F27-E27+1))</f>
        <v/>
      </c>
      <c r="M27" s="145" t="n"/>
      <c r="N27" s="146" t="n"/>
    </row>
    <row r="28" ht="82" customHeight="1">
      <c r="B28" s="77" t="inlineStr">
        <is>
          <t>P11</t>
        </is>
      </c>
      <c r="C28" s="77" t="inlineStr">
        <is>
          <t>2026.1B</t>
        </is>
      </c>
      <c r="D28" s="77" t="inlineStr">
        <is>
          <t>Đồ án</t>
        </is>
      </c>
      <c r="E28" s="143" t="n">
        <v>11</v>
      </c>
      <c r="F28" s="143" t="n">
        <v>11</v>
      </c>
      <c r="G28" s="143" t="n">
        <v>5</v>
      </c>
      <c r="H28" s="71" t="inlineStr">
        <is>
          <t>Chốt fixed-point cho dot-product và complex multiply. Viết reference integer bằng Python, dữ liệu có seed và ca biên; chọn 3 kích thước vừa BRAM.</t>
        </is>
      </c>
      <c r="I28" s="72" t="inlineStr">
        <is>
          <t>Đặc tả độ rộng trung gian, accumulator, rounding và overflow; lưu input/output mong đợi. Có phép tính tay nhỏ để kiểm tra reference.</t>
        </is>
      </c>
      <c r="J28" s="70" t="inlineStr">
        <is>
          <t>P09, C01</t>
        </is>
      </c>
      <c r="K28" s="70" t="inlineStr">
        <is>
          <t>D1 nội dung 3, 6</t>
        </is>
      </c>
      <c r="L28" s="144">
        <f>IF(OR(NOT(ISNUMBER(E28)),NOT(ISNUMBER(F28)),NOT(ISNUMBER(G28)),F28&lt;E28),"",G28/(F28-E28+1))</f>
        <v/>
      </c>
      <c r="M28" s="145" t="n"/>
      <c r="N28" s="146" t="n"/>
    </row>
    <row r="29" ht="82" customHeight="1">
      <c r="B29" s="79" t="inlineStr">
        <is>
          <t>P12</t>
        </is>
      </c>
      <c r="C29" s="79" t="inlineStr">
        <is>
          <t>2026.1B</t>
        </is>
      </c>
      <c r="D29" s="79" t="inlineStr">
        <is>
          <t>Đồ án</t>
        </is>
      </c>
      <c r="E29" s="143" t="n">
        <v>12</v>
      </c>
      <c r="F29" s="143" t="n">
        <v>12</v>
      </c>
      <c r="G29" s="143" t="n">
        <v>5</v>
      </c>
      <c r="H29" s="74" t="inlineStr">
        <is>
          <t>Viết C dot-product theo đúng reference. Kiểm tra assembly, chạy các kích thước và ca biên; lưu cycle, code size và cấu hình build.</t>
        </is>
      </c>
      <c r="I29" s="75" t="inlineStr">
        <is>
          <t>C khớp bit với reference cho bộ test đã chốt; có CSV kết quả. Phân biệt lỗi số học với lỗi đo; giữ dữ liệu sai để tái hiện lỗi.</t>
        </is>
      </c>
      <c r="J29" s="73" t="inlineStr">
        <is>
          <t>P11, C08, P09</t>
        </is>
      </c>
      <c r="K29" s="73" t="inlineStr">
        <is>
          <t>D1 nội dung 3, 4</t>
        </is>
      </c>
      <c r="L29" s="147">
        <f>IF(OR(NOT(ISNUMBER(E29)),NOT(ISNUMBER(F29)),NOT(ISNUMBER(G29)),F29&lt;E29),"",G29/(F29-E29+1))</f>
        <v/>
      </c>
      <c r="M29" s="145" t="n"/>
      <c r="N29" s="146" t="n"/>
    </row>
    <row r="30" ht="82" customHeight="1">
      <c r="B30" s="77" t="inlineStr">
        <is>
          <t>P13</t>
        </is>
      </c>
      <c r="C30" s="77" t="inlineStr">
        <is>
          <t>2026.1B</t>
        </is>
      </c>
      <c r="D30" s="77" t="inlineStr">
        <is>
          <t>Đồ án</t>
        </is>
      </c>
      <c r="E30" s="143" t="n">
        <v>13</v>
      </c>
      <c r="F30" s="143" t="n">
        <v>13</v>
      </c>
      <c r="G30" s="143" t="n">
        <v>6</v>
      </c>
      <c r="H30" s="71" t="inlineStr">
        <is>
          <t>Viết complex vector multiply theo reference; đo cả pack/unpack, load/store và phần số học. Tái sử dụng bộ sinh dữ liệu và harness.</t>
        </is>
      </c>
      <c r="I30" s="72" t="inlineStr">
        <is>
          <t>Khớp reference, có 3 kích thước và ca biên; lưu assembly và cycle. Nêu rõ đây là kernel DSP độc lập, chưa phải chuỗi radar hoàn chỉnh.</t>
        </is>
      </c>
      <c r="J30" s="70" t="inlineStr">
        <is>
          <t>P11, P12</t>
        </is>
      </c>
      <c r="K30" s="70" t="inlineStr">
        <is>
          <t>D1 nội dung 3, 4</t>
        </is>
      </c>
      <c r="L30" s="144">
        <f>IF(OR(NOT(ISNUMBER(E30)),NOT(ISNUMBER(F30)),NOT(ISNUMBER(G30)),F30&lt;E30),"",G30/(F30-E30+1))</f>
        <v/>
      </c>
      <c r="M30" s="145" t="n"/>
      <c r="N30" s="146" t="n"/>
    </row>
    <row r="31" ht="82" customHeight="1">
      <c r="B31" s="79" t="inlineStr">
        <is>
          <t>P14</t>
        </is>
      </c>
      <c r="C31" s="79" t="inlineStr">
        <is>
          <t>2026.1B</t>
        </is>
      </c>
      <c r="D31" s="79" t="inlineStr">
        <is>
          <t>Đồ án</t>
        </is>
      </c>
      <c r="E31" s="143" t="n">
        <v>14</v>
      </c>
      <c r="F31" s="143" t="n">
        <v>14</v>
      </c>
      <c r="G31" s="143" t="n">
        <v>6</v>
      </c>
      <c r="H31" s="74" t="inlineStr">
        <is>
          <t>Phân tách chi phí 2 kernel: load/store, mul/add/shift, vòng lặp và chuyển dữ liệu. Bổ sung 2 bài gần nhất vào literature review; kiểm tra baseline công bằng.</t>
        </is>
      </c>
      <c r="I31" s="75" t="inlineStr">
        <is>
          <t>Bảng hotspot có số đo và nguồn trace; tổng 4 bài đọc có ghi chú. Nêu 2–3 primitive ứng viên và overhead dự kiến, chưa khẳng định tính mới.</t>
        </is>
      </c>
      <c r="J31" s="73" t="inlineStr">
        <is>
          <t>P12, P13, C09</t>
        </is>
      </c>
      <c r="K31" s="73" t="inlineStr">
        <is>
          <t>D1 nội dung 1, 4</t>
        </is>
      </c>
      <c r="L31" s="147">
        <f>IF(OR(NOT(ISNUMBER(E31)),NOT(ISNUMBER(F31)),NOT(ISNUMBER(G31)),F31&lt;E31),"",G31/(F31-E31+1))</f>
        <v/>
      </c>
      <c r="M31" s="145" t="n"/>
      <c r="N31" s="146" t="n"/>
    </row>
    <row r="32" ht="82" customHeight="1">
      <c r="B32" s="77" t="inlineStr">
        <is>
          <t>P15</t>
        </is>
      </c>
      <c r="C32" s="77" t="inlineStr">
        <is>
          <t>2026.1B</t>
        </is>
      </c>
      <c r="D32" s="77" t="inlineStr">
        <is>
          <t>Đồ án</t>
        </is>
      </c>
      <c r="E32" s="143" t="n">
        <v>15</v>
      </c>
      <c r="F32" s="143" t="n">
        <v>15</v>
      </c>
      <c r="G32" s="143" t="n">
        <v>6</v>
      </c>
      <c r="H32" s="71" t="inlineStr">
        <is>
          <t>Chọn một ứng viên để viết ngữ nghĩa, toán hạng, độ rộng và cách trả kết quả. Đối chiếu prior art. Chỉ thử RTL nhỏ nếu baseline đã đạt và còn giờ dự phòng.</t>
        </is>
      </c>
      <c r="I32" s="72" t="inlineStr">
        <is>
          <t>Một đặc tả thử 1–2 trang và bảng lý do chọn/loại ứng viên. Prototype RTL là mục tiêu thêm, không phải điều kiện hoàn thành HK1.</t>
        </is>
      </c>
      <c r="J32" s="70" t="inlineStr">
        <is>
          <t>P14, C08</t>
        </is>
      </c>
      <c r="K32" s="70" t="inlineStr">
        <is>
          <t>R4; R5 hoặc R6; D1</t>
        </is>
      </c>
      <c r="L32" s="144">
        <f>IF(OR(NOT(ISNUMBER(E32)),NOT(ISNUMBER(F32)),NOT(ISNUMBER(G32)),F32&lt;E32),"",G32/(F32-E32+1))</f>
        <v/>
      </c>
      <c r="M32" s="145" t="n"/>
      <c r="N32" s="146" t="n"/>
    </row>
    <row r="33" ht="82" customHeight="1">
      <c r="B33" s="79" t="inlineStr">
        <is>
          <t>P16</t>
        </is>
      </c>
      <c r="C33" s="79" t="inlineStr">
        <is>
          <t>2026.1B</t>
        </is>
      </c>
      <c r="D33" s="79" t="inlineStr">
        <is>
          <t>Đồ án</t>
        </is>
      </c>
      <c r="E33" s="143" t="n">
        <v>16</v>
      </c>
      <c r="F33" s="143" t="n">
        <v>16</v>
      </c>
      <c r="G33" s="143" t="n">
        <v>6</v>
      </c>
      <c r="H33" s="74" t="inlineStr">
        <is>
          <t>Chạy lại các kết quả chính; viết báo cáo HK1, slide ngắn và danh sách rủi ro. Cập nhật đề cương/plan HK2 từ kết quả thực tế và góp ý thầy.</t>
        </is>
      </c>
      <c r="I33" s="75" t="inlineStr">
        <is>
          <t>Bộ demo, README, reference, log/CSV, báo cáo và backlog HK2 có thể truy ngược về commit. Ghi rõ phần chưa có board hoặc chưa kiểm chứng.</t>
        </is>
      </c>
      <c r="J33" s="73" t="inlineStr">
        <is>
          <t>P14, P15, P10</t>
        </is>
      </c>
      <c r="K33" s="73" t="inlineStr">
        <is>
          <t>D1 mục 2.5, 2.6</t>
        </is>
      </c>
      <c r="L33" s="147">
        <f>IF(OR(NOT(ISNUMBER(E33)),NOT(ISNUMBER(F33)),NOT(ISNUMBER(G33)),F33&lt;E33),"",G33/(F33-E33+1))</f>
        <v/>
      </c>
      <c r="M33" s="145" t="n"/>
      <c r="N33" s="146" t="n"/>
    </row>
    <row r="34" ht="82" customHeight="1">
      <c r="B34" s="77" t="inlineStr">
        <is>
          <t>M01</t>
        </is>
      </c>
      <c r="C34" s="77" t="inlineStr">
        <is>
          <t>2026.1A</t>
        </is>
      </c>
      <c r="D34" s="77" t="inlineStr">
        <is>
          <t>Mốc</t>
        </is>
      </c>
      <c r="E34" s="143" t="n">
        <v>4</v>
      </c>
      <c r="F34" s="143" t="n">
        <v>4</v>
      </c>
      <c r="G34" s="143" t="n">
        <v>0</v>
      </c>
      <c r="H34" s="71" t="inlineStr">
        <is>
          <t>Review kiến thức số/logic/ISA, môi trường, hướng nền tảng và hai bài đọc. Thời gian review đã tính trong P04.</t>
        </is>
      </c>
      <c r="I34" s="72" t="inlineStr">
        <is>
          <t>Giải thích được vòng lặp tổng mảng bằng assembly; có bảng chọn nền tảng và câu hỏi cần học tiếp. Chỉ đặt Complete sau khi review đạt.</t>
        </is>
      </c>
      <c r="J34" s="70" t="inlineStr">
        <is>
          <t>C01, C02, C03, P01, P02, P03, P04</t>
        </is>
      </c>
      <c r="K34" s="70" t="inlineStr">
        <is>
          <t>Tiêu chí đề xuất</t>
        </is>
      </c>
      <c r="L34" s="144">
        <f>IF(OR(NOT(ISNUMBER(E34)),NOT(ISNUMBER(F34)),NOT(ISNUMBER(G34)),F34&lt;E34),"",G34/(F34-E34+1))</f>
        <v/>
      </c>
      <c r="M34" s="145" t="n"/>
      <c r="N34" s="146" t="n"/>
    </row>
    <row r="35" ht="82" customHeight="1">
      <c r="B35" s="79" t="inlineStr">
        <is>
          <t>M02</t>
        </is>
      </c>
      <c r="C35" s="79" t="inlineStr">
        <is>
          <t>2026.1A</t>
        </is>
      </c>
      <c r="D35" s="79" t="inlineStr">
        <is>
          <t>Mốc</t>
        </is>
      </c>
      <c r="E35" s="143" t="n">
        <v>8</v>
      </c>
      <c r="F35" s="143" t="n">
        <v>8</v>
      </c>
      <c r="G35" s="143" t="n">
        <v>0</v>
      </c>
      <c r="H35" s="74" t="inlineStr">
        <is>
          <t>Review CPU/datapath/pipeline và baseline mô phỏng. Thời gian review đã tính trong P08.</t>
        </is>
      </c>
      <c r="I35" s="75" t="inlineStr">
        <is>
          <t>Tự giải thích một lệnh đi qua core và chạy lại demo C từ README. Chốt cách có kit và đường build/nạp cho đợt 1B.</t>
        </is>
      </c>
      <c r="J35" s="73" t="inlineStr">
        <is>
          <t>M01, C04, C05, C06, P05, P06, P07, P08</t>
        </is>
      </c>
      <c r="K35" s="73" t="inlineStr">
        <is>
          <t>Tiêu chí đề xuất</t>
        </is>
      </c>
      <c r="L35" s="147">
        <f>IF(OR(NOT(ISNUMBER(E35)),NOT(ISNUMBER(F35)),NOT(ISNUMBER(G35)),F35&lt;E35),"",G35/(F35-E35+1))</f>
        <v/>
      </c>
      <c r="M35" s="145" t="n"/>
      <c r="N35" s="146" t="n"/>
    </row>
    <row r="36" ht="82" customHeight="1">
      <c r="B36" s="77" t="inlineStr">
        <is>
          <t>M03</t>
        </is>
      </c>
      <c r="C36" s="77" t="inlineStr">
        <is>
          <t>2026.1B</t>
        </is>
      </c>
      <c r="D36" s="77" t="inlineStr">
        <is>
          <t>Mốc</t>
        </is>
      </c>
      <c r="E36" s="143" t="n">
        <v>12</v>
      </c>
      <c r="F36" s="143" t="n">
        <v>12</v>
      </c>
      <c r="G36" s="143" t="n">
        <v>0</v>
      </c>
      <c r="H36" s="71" t="inlineStr">
        <is>
          <t>Review phép đo, fixed-point, FPGA và benchmark đầu tiên. Thời gian review đã tính trong P12.</t>
        </is>
      </c>
      <c r="I36" s="72" t="inlineStr">
        <is>
          <t>Dot-product đúng reference và phép đo có thể lặp lại; có bằng chứng chạy board. Phần thiếu board phải còn hiển thị chưa đạt.</t>
        </is>
      </c>
      <c r="J36" s="70" t="inlineStr">
        <is>
          <t>M02, C07, C08, P09, P10, P11, P12</t>
        </is>
      </c>
      <c r="K36" s="70" t="inlineStr">
        <is>
          <t>Tiêu chí đề xuất</t>
        </is>
      </c>
      <c r="L36" s="144">
        <f>IF(OR(NOT(ISNUMBER(E36)),NOT(ISNUMBER(F36)),NOT(ISNUMBER(G36)),F36&lt;E36),"",G36/(F36-E36+1))</f>
        <v/>
      </c>
      <c r="M36" s="145" t="n"/>
      <c r="N36" s="146" t="n"/>
    </row>
    <row r="37" ht="82" customHeight="1">
      <c r="B37" s="79" t="inlineStr">
        <is>
          <t>M04</t>
        </is>
      </c>
      <c r="C37" s="79" t="inlineStr">
        <is>
          <t>2026.1B</t>
        </is>
      </c>
      <c r="D37" s="79" t="inlineStr">
        <is>
          <t>Mốc</t>
        </is>
      </c>
      <c r="E37" s="143" t="n">
        <v>16</v>
      </c>
      <c r="F37" s="143" t="n">
        <v>16</v>
      </c>
      <c r="G37" s="143" t="n">
        <v>0</v>
      </c>
      <c r="H37" s="74" t="inlineStr">
        <is>
          <t>Review 2 benchmark, profiling, tài liệu và đề xuất bước tiếp theo. Thời gian review đã tính trong P16.</t>
        </is>
      </c>
      <c r="I37" s="75" t="inlineStr">
        <is>
          <t>Có baseline, 2 kernel đúng, số liệu ban đầu và ứng viên có lý do chọn. Thống nhất với thầy phần nghiên cứu HK2; không yêu cầu đã tăng tốc thành công.</t>
        </is>
      </c>
      <c r="J37" s="73" t="inlineStr">
        <is>
          <t>M03, C09, C10, P13, P14, P15, P16</t>
        </is>
      </c>
      <c r="K37" s="73" t="inlineStr">
        <is>
          <t>Tiêu chí đề xuất</t>
        </is>
      </c>
      <c r="L37" s="147">
        <f>IF(OR(NOT(ISNUMBER(E37)),NOT(ISNUMBER(F37)),NOT(ISNUMBER(G37)),F37&lt;E37),"",G37/(F37-E37+1))</f>
        <v/>
      </c>
      <c r="M37" s="145" t="n"/>
      <c r="N37" s="146" t="n"/>
    </row>
    <row r="38">
      <c r="B38" s="58" t="n"/>
      <c r="C38" s="58" t="n"/>
      <c r="D38" s="58" t="n"/>
      <c r="E38" s="58" t="n"/>
      <c r="F38" s="58" t="n"/>
      <c r="G38" s="58" t="n"/>
      <c r="H38" s="58" t="n"/>
      <c r="I38" s="58" t="n"/>
      <c r="J38" s="58" t="n"/>
      <c r="K38" s="58" t="n"/>
      <c r="L38" s="58" t="n"/>
      <c r="M38" s="58" t="n"/>
      <c r="N38" s="58" t="n"/>
    </row>
    <row r="39">
      <c r="B39" s="58" t="n"/>
      <c r="C39" s="58" t="n"/>
      <c r="D39" s="58" t="n"/>
      <c r="E39" s="58" t="n"/>
      <c r="F39" s="58" t="n"/>
      <c r="G39" s="58" t="n"/>
      <c r="H39" s="58" t="n"/>
      <c r="I39" s="58" t="n"/>
      <c r="J39" s="58" t="n"/>
      <c r="K39" s="58" t="n"/>
      <c r="L39" s="58" t="n"/>
      <c r="M39" s="58" t="n"/>
      <c r="N39" s="58" t="n"/>
    </row>
    <row r="40" ht="24" customHeight="1">
      <c r="B40" s="89" t="inlineStr">
        <is>
          <t>HỌC LIỆU VÀ PHẠM VI ĐỌC</t>
        </is>
      </c>
    </row>
    <row r="41">
      <c r="B41" s="58" t="n"/>
      <c r="C41" s="58" t="n"/>
      <c r="D41" s="58" t="n"/>
      <c r="E41" s="58" t="n"/>
      <c r="F41" s="58" t="n"/>
      <c r="G41" s="58" t="n"/>
      <c r="H41" s="58" t="n"/>
      <c r="I41" s="58" t="n"/>
      <c r="J41" s="58" t="n"/>
      <c r="K41" s="58" t="n"/>
      <c r="L41" s="58" t="n"/>
      <c r="M41" s="58" t="n"/>
      <c r="N41" s="58" t="n"/>
    </row>
    <row r="42" ht="50" customHeight="1">
      <c r="B42" s="70" t="inlineStr">
        <is>
          <t>R1</t>
        </is>
      </c>
      <c r="C42" s="70" t="inlineStr">
        <is>
          <t>CS61C Course Notes</t>
        </is>
      </c>
      <c r="H42" s="70" t="inlineStr">
        <is>
          <t>Bổ trợ: Number Representation, C, RISC-V, CALL, Digital Systems, CPU, Pipelining, Caches, Performance. Chọn theo chủ đề, không chạy toàn bộ khóa.</t>
        </is>
      </c>
      <c r="K42" s="70" t="inlineStr">
        <is>
          <t>https://notes.cs61c.org/</t>
        </is>
      </c>
    </row>
    <row r="43" ht="50" customHeight="1">
      <c r="B43" s="73" t="inlineStr">
        <is>
          <t>R2</t>
        </is>
      </c>
      <c r="C43" s="73" t="inlineStr">
        <is>
          <t>Ripes</t>
        </is>
      </c>
      <c r="H43" s="73" t="inlineStr">
        <is>
          <t>Thực hành trực quan register, datapath, pipeline. Dùng để học; số cycle của Ripes không thay số đo RTL/FPGA. Web thử nghiệm: https://ripes.dk/</t>
        </is>
      </c>
      <c r="K43" s="73" t="inlineStr">
        <is>
          <t>https://github.com/mortbopet/Ripes</t>
        </is>
      </c>
    </row>
    <row r="44" ht="50" customHeight="1">
      <c r="B44" s="70" t="inlineStr">
        <is>
          <t>R3</t>
        </is>
      </c>
      <c r="C44" s="70" t="inlineStr">
        <is>
          <t>Nand to Tetris</t>
        </is>
      </c>
      <c r="H44" s="70" t="inlineStr">
        <is>
          <t>Bổ trợ nếu logic số còn yếu: xem các phần Boolean Logic, Arithmetic, Memory và Computer Architecture. Chỉ làm ví dụ cần thiết; đây là kiến trúc Hack.</t>
        </is>
      </c>
      <c r="K44" s="70" t="inlineStr">
        <is>
          <t>https://www.nand2tetris.org/course</t>
        </is>
      </c>
    </row>
    <row r="45" ht="50" customHeight="1">
      <c r="B45" s="73" t="inlineStr">
        <is>
          <t>R4</t>
        </is>
      </c>
      <c r="C45" s="73" t="inlineStr">
        <is>
          <t>RISC-V ISA Manual</t>
        </is>
      </c>
      <c r="H45" s="73" t="inlineStr">
        <is>
          <t>Tra ngữ nghĩa và encoding khi làm C03/C10. Dùng làm tài liệu tra cứu sau khi hiểu ví dụ; không yêu cầu đọc hết đặc tả.</t>
        </is>
      </c>
      <c r="K45" s="73" t="inlineStr">
        <is>
          <t>https://docs.riscv.org/reference/isa/unpriv/rv32.html</t>
        </is>
      </c>
    </row>
    <row r="46" ht="50" customHeight="1">
      <c r="B46" s="70" t="inlineStr">
        <is>
          <t>R5</t>
        </is>
      </c>
      <c r="C46" s="70" t="inlineStr">
        <is>
          <t>PicoRV32</t>
        </is>
      </c>
      <c r="H46" s="70" t="inlineStr">
        <is>
          <t>Ứng viên Verilog/PCPI. Repository chính đã archive; cần cân nhắc khả năng tự bảo trì và cố định commit nếu chọn.</t>
        </is>
      </c>
      <c r="K46" s="70" t="inlineStr">
        <is>
          <t>https://github.com/YosysHQ/picorv32</t>
        </is>
      </c>
    </row>
    <row r="47" ht="50" customHeight="1">
      <c r="B47" s="73" t="inlineStr">
        <is>
          <t>R6</t>
        </is>
      </c>
      <c r="C47" s="73" t="inlineStr">
        <is>
          <t>NEORV32</t>
        </is>
      </c>
      <c r="H47" s="73" t="inlineStr">
        <is>
          <t>Ứng viên VHDL có nền tảng SoC và CFU. Kiểm tra ví dụ, board và mức quen VHDL trước khi quyết định.</t>
        </is>
      </c>
      <c r="K47" s="73" t="inlineStr">
        <is>
          <t>https://stnolting.github.io/neorv32/</t>
        </is>
      </c>
    </row>
    <row r="48" ht="50" customHeight="1">
      <c r="B48" s="70" t="inlineStr">
        <is>
          <t>R7</t>
        </is>
      </c>
      <c r="C48" s="70" t="inlineStr">
        <is>
          <t>Vivado Lab Edition</t>
        </is>
      </c>
      <c r="H48" s="70" t="inlineStr">
        <is>
          <t>Dùng khi chọn FPGA AMD: nạp/debug thiết bị sau khi đã tạo bitstream. Kế hoạch server/build phải theo board và phiên bản đã chốt.</t>
        </is>
      </c>
      <c r="K48" s="70" t="inlineStr">
        <is>
          <t>https://docs.amd.com/r/en-US/ug908-vivado-programming-debugging/Vivado-Lab-Edition</t>
        </is>
      </c>
    </row>
    <row r="49" ht="50" customHeight="1">
      <c r="B49" s="73" t="inlineStr">
        <is>
          <t>D1</t>
        </is>
      </c>
      <c r="C49" s="73" t="inlineStr">
        <is>
          <t>Đề cương đính kèm</t>
        </is>
      </c>
      <c r="H49" s="73" t="inlineStr">
        <is>
          <t>Đề cương nghiên cứu – Nguyễn Hải Minh.docx, mục 2.2, 2.5 và 2.6. Lịch 16 tuần, tải 10 giờ/tuần và tiêu chí học là đề xuất bổ sung của tracker.</t>
        </is>
      </c>
      <c r="K49" s="73" t="inlineStr">
        <is>
          <t>Tệp do người dùng cung cấp trong cuộc trò chuyện</t>
        </is>
      </c>
    </row>
    <row r="50" ht="90" customHeight="1">
      <c r="B50" s="70" t="inlineStr">
        <is>
          <t>R8</t>
        </is>
      </c>
      <c r="C50" s="70" t="inlineStr">
        <is>
          <t>Computer Architecture: A Quantitative Approach, Sixth Edition — Hennessy &amp; Patterson</t>
        </is>
      </c>
      <c r="H50" s="70" t="inlineStr">
        <is>
          <t>Sách chính: §1.3; §1.9 tr.52–53; A.9; C.1. Đã đối chiếu các đoạn liên quan để soạn bài ngày 26/10; chưa xác nhận tiến độ học viên. Bài tập RV32I đối chiếu R4.</t>
        </is>
      </c>
      <c r="K50" s="70" t="inlineStr">
        <is>
          <t>../Tài liệu/Computer_Architecture_A_Quantitative_Approach_6th_Edition.pdf</t>
        </is>
      </c>
    </row>
    <row r="51">
      <c r="B51" s="58" t="n"/>
      <c r="C51" s="58" t="n"/>
      <c r="D51" s="58" t="n"/>
      <c r="E51" s="58" t="n"/>
      <c r="F51" s="58" t="n"/>
      <c r="G51" s="58" t="n"/>
      <c r="H51" s="58" t="n"/>
      <c r="I51" s="58" t="n"/>
      <c r="J51" s="58" t="n"/>
      <c r="K51" s="58" t="n"/>
      <c r="L51" s="58" t="n"/>
      <c r="M51" s="58" t="n"/>
      <c r="N51" s="58" t="n"/>
    </row>
    <row r="52" ht="25" customHeight="1">
      <c r="B52" s="62" t="inlineStr">
        <is>
          <t>Ưu tiên 26/10–01/11: tab Hoc RV32I tuan, 10 giờ dự kiến học và dựng các khối T3 cho BTL. Đây là phân bổ tuần đang làm, không cộng thêm tải Gantt cũ. Trạng thái Cxx/Pxx chỉ đổi khi có bằng chứng thực tế.</t>
        </is>
      </c>
    </row>
    <row r="53" ht="25" customHeight="1"/>
    <row r="54">
      <c r="B54" s="58" t="n"/>
      <c r="C54" s="58" t="n"/>
      <c r="D54" s="58" t="n"/>
      <c r="E54" s="58" t="n"/>
      <c r="F54" s="58" t="n"/>
      <c r="G54" s="58" t="n"/>
      <c r="H54" s="58" t="n"/>
      <c r="I54" s="58" t="n"/>
      <c r="J54" s="58" t="n"/>
      <c r="K54" s="58" t="n"/>
      <c r="L54" s="58" t="n"/>
      <c r="M54" s="58" t="n"/>
      <c r="N54" s="58" t="n"/>
    </row>
    <row r="55" ht="22" customHeight="1">
      <c r="B55" s="67" t="inlineStr">
        <is>
          <t>Nếu chưa đạt mốc: dùng giờ dự phòng và sửa kế hoạch tuần, giữ mục chưa đạt ở In Progress/At Risk. Nếu chưa có board, tiếp tục mô phỏng/P&amp;R nhưng P10 và mốc có điều kiện board vẫn chưa hoàn thành. Trong HK1 ưu tiên baseline, 2 kernel và phép đo; custom RTL chỉ thử khi các nền tảng đã ổn. Các trang học liệu được kiểm tra ngày 03/10/2026.</t>
        </is>
      </c>
    </row>
    <row r="56" ht="22" customHeight="1"/>
    <row r="57" ht="22" customHeight="1"/>
    <row r="58">
      <c r="B58" s="58" t="n"/>
      <c r="C58" s="58" t="n"/>
      <c r="D58" s="58" t="n"/>
      <c r="E58" s="58" t="n"/>
      <c r="F58" s="58" t="n"/>
      <c r="G58" s="58" t="n"/>
      <c r="H58" s="58" t="n"/>
      <c r="I58" s="58" t="n"/>
      <c r="J58" s="58" t="n"/>
      <c r="K58" s="58" t="n"/>
      <c r="L58" s="58" t="n"/>
      <c r="M58" s="58" t="n"/>
      <c r="N58" s="58" t="n"/>
    </row>
    <row r="59">
      <c r="B59" s="58" t="n"/>
      <c r="C59" s="58" t="n"/>
      <c r="D59" s="58" t="n"/>
      <c r="E59" s="58" t="n"/>
      <c r="F59" s="58" t="n"/>
      <c r="G59" s="58" t="n"/>
      <c r="H59" s="58" t="n"/>
      <c r="I59" s="58" t="n"/>
      <c r="J59" s="58" t="n"/>
      <c r="K59" s="58" t="n"/>
      <c r="L59" s="58" t="n"/>
      <c r="M59" s="58" t="n"/>
      <c r="N59" s="58" t="n"/>
    </row>
    <row r="60">
      <c r="B60" s="58" t="n"/>
      <c r="C60" s="58" t="n"/>
      <c r="D60" s="58" t="n"/>
      <c r="E60" s="58" t="n"/>
      <c r="F60" s="58" t="n"/>
      <c r="G60" s="58" t="n"/>
      <c r="H60" s="58" t="n"/>
      <c r="I60" s="58" t="n"/>
      <c r="J60" s="58" t="n"/>
      <c r="K60" s="58" t="n"/>
      <c r="L60" s="58" t="n"/>
      <c r="M60" s="58" t="n"/>
      <c r="N60" s="58" t="n"/>
    </row>
  </sheetData>
  <mergeCells count="32">
    <mergeCell ref="K42:N42"/>
    <mergeCell ref="C49:G49"/>
    <mergeCell ref="H46:J46"/>
    <mergeCell ref="H49:J49"/>
    <mergeCell ref="K48:N48"/>
    <mergeCell ref="C42:G42"/>
    <mergeCell ref="B40:N40"/>
    <mergeCell ref="B52:N53"/>
    <mergeCell ref="C45:G45"/>
    <mergeCell ref="H45:J45"/>
    <mergeCell ref="B55:N57"/>
    <mergeCell ref="C47:G47"/>
    <mergeCell ref="K49:N49"/>
    <mergeCell ref="C50:G50"/>
    <mergeCell ref="C44:G44"/>
    <mergeCell ref="H47:J47"/>
    <mergeCell ref="H48:J48"/>
    <mergeCell ref="K45:N45"/>
    <mergeCell ref="H42:J42"/>
    <mergeCell ref="C43:G43"/>
    <mergeCell ref="C46:G46"/>
    <mergeCell ref="K47:N47"/>
    <mergeCell ref="B2:N2"/>
    <mergeCell ref="C48:G48"/>
    <mergeCell ref="H43:J43"/>
    <mergeCell ref="K50:N50"/>
    <mergeCell ref="K44:N44"/>
    <mergeCell ref="K46:N46"/>
    <mergeCell ref="H50:J50"/>
    <mergeCell ref="H44:J44"/>
    <mergeCell ref="B4:N5"/>
    <mergeCell ref="K43:N43"/>
  </mergeCells>
  <conditionalFormatting sqref="E8:F37">
    <cfRule type="expression" priority="1" dxfId="11">
      <formula>OR($E8="",$F8="",$F8&lt;$E8)</formula>
    </cfRule>
  </conditionalFormatting>
  <dataValidations count="2">
    <dataValidation sqref="E8:F37" showDropDown="0" showInputMessage="0" showErrorMessage="0" allowBlank="0" type="whole" operator="between">
      <formula1>1</formula1>
      <formula2>20</formula2>
    </dataValidation>
    <dataValidation sqref="G8:G37" showDropDown="0" showInputMessage="0" showErrorMessage="0" allowBlank="0" type="whole" operator="between">
      <formula1>0</formula1>
      <formula2>160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M26"/>
  <sheetViews>
    <sheetView showGridLines="0"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4" customWidth="1" min="2" max="2"/>
    <col width="14" customWidth="1" min="3" max="3"/>
    <col width="54" customWidth="1" min="4" max="4"/>
    <col width="40" customWidth="1" min="5" max="5"/>
    <col width="45" customWidth="1" min="6" max="6"/>
    <col width="46" customWidth="1" min="7" max="7"/>
    <col width="42" customWidth="1" min="8" max="8"/>
    <col width="16" customWidth="1" min="9" max="9"/>
    <col width="19" customWidth="1" min="10" max="10"/>
    <col width="40" customWidth="1" min="11" max="11"/>
    <col width="42" customWidth="1" min="12" max="12"/>
    <col width="55" customWidth="1" min="13" max="13"/>
  </cols>
  <sheetData>
    <row r="1" ht="31" customHeight="1">
      <c r="A1" s="148" t="inlineStr">
        <is>
          <t>BÁO CÁO TIẾN ĐỘ HẰNG TUẦN VỚI THẦY HƯỚNG DẪN</t>
        </is>
      </c>
    </row>
    <row r="2" ht="30" customHeight="1">
      <c r="A2" s="149" t="inlineStr">
        <is>
          <t>Mỗi tuần thứ Hai–Chủ nhật: tiến độ → vấn đề → giải pháp → ý nghĩa thiết kế → kế hoạch tới. Chỉ ghi ngày gửi sau khi thực hiện.</t>
        </is>
      </c>
    </row>
    <row r="3"/>
    <row r="4" ht="30" customHeight="1">
      <c r="A4" s="149" t="inlineStr">
        <is>
          <t>Ngày đầu</t>
        </is>
      </c>
      <c r="B4" s="150" t="n">
        <v>46321</v>
      </c>
      <c r="D4" s="149" t="inlineStr">
        <is>
          <t>Ngày báo cáo tuần độc lập với lịch học kỳ/Gantt hiện có. Sửa B4 nếu thầy thống nhất mốc khác. Không suy tiến độ từ ngày lịch.</t>
        </is>
      </c>
    </row>
    <row r="5"/>
    <row r="6" ht="32" customHeight="1">
      <c r="A6" s="151" t="inlineStr">
        <is>
          <t>Tuần</t>
        </is>
      </c>
      <c r="B6" s="151" t="inlineStr">
        <is>
          <t>Từ ngày</t>
        </is>
      </c>
      <c r="C6" s="151" t="inlineStr">
        <is>
          <t>Đến ngày</t>
        </is>
      </c>
      <c r="D6" s="151" t="inlineStr">
        <is>
          <t>Tiến độ và kết quả tuần này</t>
        </is>
      </c>
      <c r="E6" s="151" t="inlineStr">
        <is>
          <t>Khó khăn gặp phải</t>
        </is>
      </c>
      <c r="F6" s="151" t="inlineStr">
        <is>
          <t>Cách giải quyết</t>
        </is>
      </c>
      <c r="G6" s="151" t="inlineStr">
        <is>
          <t>Nhiệm vụ tuần tới</t>
        </is>
      </c>
      <c r="H6" s="151" t="inlineStr">
        <is>
          <t>Tệp / liên kết báo cáo</t>
        </is>
      </c>
      <c r="I6" s="151" t="inlineStr">
        <is>
          <t>Ngày gửi thầy</t>
        </is>
      </c>
      <c r="J6" s="151" t="inlineStr">
        <is>
          <t>Tình trạng báo cáo</t>
        </is>
      </c>
      <c r="K6" s="151" t="inlineStr">
        <is>
          <t>Góp ý của thầy</t>
        </is>
      </c>
      <c r="L6" s="151" t="inlineStr">
        <is>
          <t>Việc cần làm sau góp ý</t>
        </is>
      </c>
      <c r="M6" s="151" t="inlineStr">
        <is>
          <t>Ý nghĩa thiết kế</t>
        </is>
      </c>
    </row>
    <row r="7" ht="64" customHeight="1">
      <c r="A7" s="152" t="n">
        <v>1</v>
      </c>
      <c r="B7" s="153">
        <f>$B$4+7*(A7-1)</f>
        <v/>
      </c>
      <c r="C7" s="153">
        <f>B7+6</f>
        <v/>
      </c>
      <c r="D7" s="152" t="inlineStr">
        <is>
          <t>Đã tổ chức sách/bài báo, soạn bài học Word và lịch thực hành; đọc cấu trúc T3. Chưa xác nhận học viên hoàn thành khối hoặc mô phỏng.</t>
        </is>
      </c>
      <c r="E7" s="152" t="inlineStr">
        <is>
          <t>Cần nối ví dụ RV64G trong sách với RV32I; T3 còn control tay; cần kiểm chứng U-immediate.</t>
        </is>
      </c>
      <c r="F7" s="152" t="inlineStr">
        <is>
          <t>Bài học có nguồn/mục/trang, ví dụ giải và vector expected; kiểm chứng từng khối trong Logisim, ghi actual khi thực hành.</t>
        </is>
      </c>
      <c r="G7" s="152" t="inlineStr">
        <is>
          <t>02–08/11: hoàn tất khối tồn đọng; control, memory và chương trình ROM tự chạy; chỉ học pipeline sau single-cycle ổn định.</t>
        </is>
      </c>
      <c r="H7" s="154" t="inlineStr">
        <is>
          <t>weekly/Bao_cao_tuan_01_2026-10-26_2026-11-01.docx</t>
        </is>
      </c>
      <c r="I7" s="153" t="n"/>
      <c r="J7" s="152" t="inlineStr">
        <is>
          <t>Đang soạn; chưa gửi</t>
        </is>
      </c>
      <c r="K7" s="152" t="n"/>
      <c r="L7" s="152" t="n"/>
      <c r="M7" s="152" t="inlineStr">
        <is>
          <t>Mục tiêu: state/clock, 2R1W, ALUSrc, branch target/decision; học viên bổ sung kết luận sau thực hành.</t>
        </is>
      </c>
    </row>
    <row r="8" ht="46" customHeight="1">
      <c r="A8" s="152" t="n">
        <v>2</v>
      </c>
      <c r="B8" s="153">
        <f>$B$4+7*(A8-1)</f>
        <v/>
      </c>
      <c r="C8" s="153">
        <f>B8+6</f>
        <v/>
      </c>
      <c r="D8" s="152" t="n"/>
      <c r="E8" s="152" t="n"/>
      <c r="F8" s="152" t="n"/>
      <c r="G8" s="152" t="n"/>
      <c r="H8" s="152" t="n"/>
      <c r="I8" s="153" t="n"/>
      <c r="J8" s="152" t="inlineStr">
        <is>
          <t>Chưa soạn</t>
        </is>
      </c>
      <c r="K8" s="152" t="n"/>
      <c r="L8" s="152" t="n"/>
      <c r="M8" s="152" t="n"/>
    </row>
    <row r="9" ht="46" customHeight="1">
      <c r="A9" s="152" t="n">
        <v>3</v>
      </c>
      <c r="B9" s="153">
        <f>$B$4+7*(A9-1)</f>
        <v/>
      </c>
      <c r="C9" s="153">
        <f>B9+6</f>
        <v/>
      </c>
      <c r="D9" s="152" t="n"/>
      <c r="E9" s="152" t="n"/>
      <c r="F9" s="152" t="n"/>
      <c r="G9" s="152" t="n"/>
      <c r="H9" s="152" t="n"/>
      <c r="I9" s="153" t="n"/>
      <c r="J9" s="152" t="inlineStr">
        <is>
          <t>Chưa soạn</t>
        </is>
      </c>
      <c r="K9" s="152" t="n"/>
      <c r="L9" s="152" t="n"/>
      <c r="M9" s="152" t="n"/>
    </row>
    <row r="10" ht="46" customHeight="1">
      <c r="A10" s="152" t="n">
        <v>4</v>
      </c>
      <c r="B10" s="153">
        <f>$B$4+7*(A10-1)</f>
        <v/>
      </c>
      <c r="C10" s="153">
        <f>B10+6</f>
        <v/>
      </c>
      <c r="D10" s="152" t="n"/>
      <c r="E10" s="152" t="n"/>
      <c r="F10" s="152" t="n"/>
      <c r="G10" s="152" t="n"/>
      <c r="H10" s="152" t="n"/>
      <c r="I10" s="153" t="n"/>
      <c r="J10" s="152" t="inlineStr">
        <is>
          <t>Chưa soạn</t>
        </is>
      </c>
      <c r="K10" s="152" t="n"/>
      <c r="L10" s="152" t="n"/>
      <c r="M10" s="152" t="n"/>
    </row>
    <row r="11" ht="46" customHeight="1">
      <c r="A11" s="152" t="n">
        <v>5</v>
      </c>
      <c r="B11" s="153">
        <f>$B$4+7*(A11-1)</f>
        <v/>
      </c>
      <c r="C11" s="153">
        <f>B11+6</f>
        <v/>
      </c>
      <c r="D11" s="152" t="n"/>
      <c r="E11" s="152" t="n"/>
      <c r="F11" s="152" t="n"/>
      <c r="G11" s="152" t="n"/>
      <c r="H11" s="152" t="n"/>
      <c r="I11" s="153" t="n"/>
      <c r="J11" s="152" t="inlineStr">
        <is>
          <t>Chưa soạn</t>
        </is>
      </c>
      <c r="K11" s="152" t="n"/>
      <c r="L11" s="152" t="n"/>
      <c r="M11" s="152" t="n"/>
    </row>
    <row r="12" ht="46" customHeight="1">
      <c r="A12" s="152" t="n">
        <v>6</v>
      </c>
      <c r="B12" s="153">
        <f>$B$4+7*(A12-1)</f>
        <v/>
      </c>
      <c r="C12" s="153">
        <f>B12+6</f>
        <v/>
      </c>
      <c r="D12" s="152" t="n"/>
      <c r="E12" s="152" t="n"/>
      <c r="F12" s="152" t="n"/>
      <c r="G12" s="152" t="n"/>
      <c r="H12" s="152" t="n"/>
      <c r="I12" s="153" t="n"/>
      <c r="J12" s="152" t="inlineStr">
        <is>
          <t>Chưa soạn</t>
        </is>
      </c>
      <c r="K12" s="152" t="n"/>
      <c r="L12" s="152" t="n"/>
      <c r="M12" s="152" t="n"/>
    </row>
    <row r="13" ht="46" customHeight="1">
      <c r="A13" s="152" t="n">
        <v>7</v>
      </c>
      <c r="B13" s="153">
        <f>$B$4+7*(A13-1)</f>
        <v/>
      </c>
      <c r="C13" s="153">
        <f>B13+6</f>
        <v/>
      </c>
      <c r="D13" s="152" t="n"/>
      <c r="E13" s="152" t="n"/>
      <c r="F13" s="152" t="n"/>
      <c r="G13" s="152" t="n"/>
      <c r="H13" s="152" t="n"/>
      <c r="I13" s="153" t="n"/>
      <c r="J13" s="152" t="inlineStr">
        <is>
          <t>Chưa soạn</t>
        </is>
      </c>
      <c r="K13" s="152" t="n"/>
      <c r="L13" s="152" t="n"/>
      <c r="M13" s="152" t="n"/>
    </row>
    <row r="14" ht="46" customHeight="1">
      <c r="A14" s="152" t="n">
        <v>8</v>
      </c>
      <c r="B14" s="153">
        <f>$B$4+7*(A14-1)</f>
        <v/>
      </c>
      <c r="C14" s="153">
        <f>B14+6</f>
        <v/>
      </c>
      <c r="D14" s="152" t="n"/>
      <c r="E14" s="152" t="n"/>
      <c r="F14" s="152" t="n"/>
      <c r="G14" s="152" t="n"/>
      <c r="H14" s="152" t="n"/>
      <c r="I14" s="153" t="n"/>
      <c r="J14" s="152" t="inlineStr">
        <is>
          <t>Chưa soạn</t>
        </is>
      </c>
      <c r="K14" s="152" t="n"/>
      <c r="L14" s="152" t="n"/>
      <c r="M14" s="152" t="n"/>
    </row>
    <row r="15" ht="46" customHeight="1">
      <c r="A15" s="152" t="n">
        <v>9</v>
      </c>
      <c r="B15" s="153">
        <f>$B$4+7*(A15-1)</f>
        <v/>
      </c>
      <c r="C15" s="153">
        <f>B15+6</f>
        <v/>
      </c>
      <c r="D15" s="152" t="n"/>
      <c r="E15" s="152" t="n"/>
      <c r="F15" s="152" t="n"/>
      <c r="G15" s="152" t="n"/>
      <c r="H15" s="152" t="n"/>
      <c r="I15" s="153" t="n"/>
      <c r="J15" s="152" t="inlineStr">
        <is>
          <t>Chưa soạn</t>
        </is>
      </c>
      <c r="K15" s="152" t="n"/>
      <c r="L15" s="152" t="n"/>
      <c r="M15" s="152" t="n"/>
    </row>
    <row r="16" ht="46" customHeight="1">
      <c r="A16" s="152" t="n">
        <v>10</v>
      </c>
      <c r="B16" s="153">
        <f>$B$4+7*(A16-1)</f>
        <v/>
      </c>
      <c r="C16" s="153">
        <f>B16+6</f>
        <v/>
      </c>
      <c r="D16" s="152" t="n"/>
      <c r="E16" s="152" t="n"/>
      <c r="F16" s="152" t="n"/>
      <c r="G16" s="152" t="n"/>
      <c r="H16" s="152" t="n"/>
      <c r="I16" s="153" t="n"/>
      <c r="J16" s="152" t="inlineStr">
        <is>
          <t>Chưa soạn</t>
        </is>
      </c>
      <c r="K16" s="152" t="n"/>
      <c r="L16" s="152" t="n"/>
      <c r="M16" s="152" t="n"/>
    </row>
    <row r="17" ht="46" customHeight="1">
      <c r="A17" s="152" t="n">
        <v>11</v>
      </c>
      <c r="B17" s="153">
        <f>$B$4+7*(A17-1)</f>
        <v/>
      </c>
      <c r="C17" s="153">
        <f>B17+6</f>
        <v/>
      </c>
      <c r="D17" s="152" t="n"/>
      <c r="E17" s="152" t="n"/>
      <c r="F17" s="152" t="n"/>
      <c r="G17" s="152" t="n"/>
      <c r="H17" s="152" t="n"/>
      <c r="I17" s="153" t="n"/>
      <c r="J17" s="152" t="inlineStr">
        <is>
          <t>Chưa soạn</t>
        </is>
      </c>
      <c r="K17" s="152" t="n"/>
      <c r="L17" s="152" t="n"/>
      <c r="M17" s="152" t="n"/>
    </row>
    <row r="18" ht="46" customHeight="1">
      <c r="A18" s="152" t="n">
        <v>12</v>
      </c>
      <c r="B18" s="153">
        <f>$B$4+7*(A18-1)</f>
        <v/>
      </c>
      <c r="C18" s="153">
        <f>B18+6</f>
        <v/>
      </c>
      <c r="D18" s="152" t="n"/>
      <c r="E18" s="152" t="n"/>
      <c r="F18" s="152" t="n"/>
      <c r="G18" s="152" t="n"/>
      <c r="H18" s="152" t="n"/>
      <c r="I18" s="153" t="n"/>
      <c r="J18" s="152" t="inlineStr">
        <is>
          <t>Chưa soạn</t>
        </is>
      </c>
      <c r="K18" s="152" t="n"/>
      <c r="L18" s="152" t="n"/>
      <c r="M18" s="152" t="n"/>
    </row>
    <row r="19" ht="46" customHeight="1">
      <c r="A19" s="152" t="n">
        <v>13</v>
      </c>
      <c r="B19" s="153">
        <f>$B$4+7*(A19-1)</f>
        <v/>
      </c>
      <c r="C19" s="153">
        <f>B19+6</f>
        <v/>
      </c>
      <c r="D19" s="152" t="n"/>
      <c r="E19" s="152" t="n"/>
      <c r="F19" s="152" t="n"/>
      <c r="G19" s="152" t="n"/>
      <c r="H19" s="152" t="n"/>
      <c r="I19" s="153" t="n"/>
      <c r="J19" s="152" t="inlineStr">
        <is>
          <t>Chưa soạn</t>
        </is>
      </c>
      <c r="K19" s="152" t="n"/>
      <c r="L19" s="152" t="n"/>
      <c r="M19" s="152" t="n"/>
    </row>
    <row r="20" ht="46" customHeight="1">
      <c r="A20" s="152" t="n">
        <v>14</v>
      </c>
      <c r="B20" s="153">
        <f>$B$4+7*(A20-1)</f>
        <v/>
      </c>
      <c r="C20" s="153">
        <f>B20+6</f>
        <v/>
      </c>
      <c r="D20" s="152" t="n"/>
      <c r="E20" s="152" t="n"/>
      <c r="F20" s="152" t="n"/>
      <c r="G20" s="152" t="n"/>
      <c r="H20" s="152" t="n"/>
      <c r="I20" s="153" t="n"/>
      <c r="J20" s="152" t="inlineStr">
        <is>
          <t>Chưa soạn</t>
        </is>
      </c>
      <c r="K20" s="152" t="n"/>
      <c r="L20" s="152" t="n"/>
      <c r="M20" s="152" t="n"/>
    </row>
    <row r="21" ht="46" customHeight="1">
      <c r="A21" s="152" t="n">
        <v>15</v>
      </c>
      <c r="B21" s="153">
        <f>$B$4+7*(A21-1)</f>
        <v/>
      </c>
      <c r="C21" s="153">
        <f>B21+6</f>
        <v/>
      </c>
      <c r="D21" s="152" t="n"/>
      <c r="E21" s="152" t="n"/>
      <c r="F21" s="152" t="n"/>
      <c r="G21" s="152" t="n"/>
      <c r="H21" s="152" t="n"/>
      <c r="I21" s="153" t="n"/>
      <c r="J21" s="152" t="inlineStr">
        <is>
          <t>Chưa soạn</t>
        </is>
      </c>
      <c r="K21" s="152" t="n"/>
      <c r="L21" s="152" t="n"/>
      <c r="M21" s="152" t="n"/>
    </row>
    <row r="22" ht="46" customHeight="1">
      <c r="A22" s="152" t="n">
        <v>16</v>
      </c>
      <c r="B22" s="153">
        <f>$B$4+7*(A22-1)</f>
        <v/>
      </c>
      <c r="C22" s="153">
        <f>B22+6</f>
        <v/>
      </c>
      <c r="D22" s="152" t="n"/>
      <c r="E22" s="152" t="n"/>
      <c r="F22" s="152" t="n"/>
      <c r="G22" s="152" t="n"/>
      <c r="H22" s="152" t="n"/>
      <c r="I22" s="153" t="n"/>
      <c r="J22" s="152" t="inlineStr">
        <is>
          <t>Chưa soạn</t>
        </is>
      </c>
      <c r="K22" s="152" t="n"/>
      <c r="L22" s="152" t="n"/>
      <c r="M22" s="152" t="n"/>
    </row>
    <row r="23" ht="46" customHeight="1">
      <c r="A23" s="152" t="n">
        <v>17</v>
      </c>
      <c r="B23" s="153">
        <f>$B$4+7*(A23-1)</f>
        <v/>
      </c>
      <c r="C23" s="153">
        <f>B23+6</f>
        <v/>
      </c>
      <c r="D23" s="152" t="n"/>
      <c r="E23" s="152" t="n"/>
      <c r="F23" s="152" t="n"/>
      <c r="G23" s="152" t="n"/>
      <c r="H23" s="152" t="n"/>
      <c r="I23" s="153" t="n"/>
      <c r="J23" s="152" t="inlineStr">
        <is>
          <t>Chưa soạn</t>
        </is>
      </c>
      <c r="K23" s="152" t="n"/>
      <c r="L23" s="152" t="n"/>
      <c r="M23" s="152" t="n"/>
    </row>
    <row r="24" ht="46" customHeight="1">
      <c r="A24" s="152" t="n">
        <v>18</v>
      </c>
      <c r="B24" s="153">
        <f>$B$4+7*(A24-1)</f>
        <v/>
      </c>
      <c r="C24" s="153">
        <f>B24+6</f>
        <v/>
      </c>
      <c r="D24" s="152" t="n"/>
      <c r="E24" s="152" t="n"/>
      <c r="F24" s="152" t="n"/>
      <c r="G24" s="152" t="n"/>
      <c r="H24" s="152" t="n"/>
      <c r="I24" s="153" t="n"/>
      <c r="J24" s="152" t="inlineStr">
        <is>
          <t>Chưa soạn</t>
        </is>
      </c>
      <c r="K24" s="152" t="n"/>
      <c r="L24" s="152" t="n"/>
      <c r="M24" s="152" t="n"/>
    </row>
    <row r="25" ht="46" customHeight="1">
      <c r="A25" s="152" t="n">
        <v>19</v>
      </c>
      <c r="B25" s="153">
        <f>$B$4+7*(A25-1)</f>
        <v/>
      </c>
      <c r="C25" s="153">
        <f>B25+6</f>
        <v/>
      </c>
      <c r="D25" s="152" t="n"/>
      <c r="E25" s="152" t="n"/>
      <c r="F25" s="152" t="n"/>
      <c r="G25" s="152" t="n"/>
      <c r="H25" s="152" t="n"/>
      <c r="I25" s="153" t="n"/>
      <c r="J25" s="152" t="inlineStr">
        <is>
          <t>Chưa soạn</t>
        </is>
      </c>
      <c r="K25" s="152" t="n"/>
      <c r="L25" s="152" t="n"/>
      <c r="M25" s="152" t="n"/>
    </row>
    <row r="26" ht="46" customHeight="1">
      <c r="A26" s="152" t="n">
        <v>20</v>
      </c>
      <c r="B26" s="153">
        <f>$B$4+7*(A26-1)</f>
        <v/>
      </c>
      <c r="C26" s="153">
        <f>B26+6</f>
        <v/>
      </c>
      <c r="D26" s="152" t="n"/>
      <c r="E26" s="152" t="n"/>
      <c r="F26" s="152" t="n"/>
      <c r="G26" s="152" t="n"/>
      <c r="H26" s="152" t="n"/>
      <c r="I26" s="153" t="n"/>
      <c r="J26" s="152" t="inlineStr">
        <is>
          <t>Chưa soạn</t>
        </is>
      </c>
      <c r="K26" s="152" t="n"/>
      <c r="L26" s="152" t="n"/>
      <c r="M26" s="152" t="n"/>
    </row>
  </sheetData>
  <mergeCells count="3">
    <mergeCell ref="A2:L2"/>
    <mergeCell ref="A1:L1"/>
    <mergeCell ref="D4:L4"/>
  </mergeCells>
  <dataValidations count="1">
    <dataValidation sqref="J7:J26" showDropDown="0" showInputMessage="0" showErrorMessage="1" allowBlank="1" errorTitle="Chọn tình trạng báo cáo" error="Chọn một giá trị trong danh sách." type="list">
      <formula1>"Chưa soạn,Đang soạn,Chờ rà soát,Đã gửi,Đã trao đổi"</formula1>
    </dataValidation>
  </dataValidations>
  <hyperlinks>
    <hyperlink xmlns:r="http://schemas.openxmlformats.org/officeDocument/2006/relationships" ref="H7"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L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39" customWidth="1" min="3" max="3"/>
    <col width="49" customWidth="1" min="4" max="4"/>
    <col width="17" customWidth="1" min="5" max="5"/>
    <col width="22" customWidth="1" min="6" max="6"/>
    <col width="22" customWidth="1" min="7" max="7"/>
    <col width="12" customWidth="1" min="8" max="8"/>
    <col width="32" customWidth="1" min="9" max="9"/>
    <col width="40" customWidth="1" min="10" max="10"/>
    <col width="40" customWidth="1" min="11" max="11"/>
    <col width="22" customWidth="1" min="12" max="12"/>
  </cols>
  <sheetData>
    <row r="1">
      <c r="A1" s="155" t="inlineStr">
        <is>
          <t>KẾ HOẠCH HỌC RV32I • 26/10–01/11/2026</t>
        </is>
      </c>
      <c r="B1" s="155" t="n"/>
      <c r="C1" s="155" t="n"/>
      <c r="D1" s="155" t="n"/>
      <c r="E1" s="155" t="n"/>
      <c r="F1" s="155" t="n"/>
      <c r="G1" s="155" t="n"/>
      <c r="H1" s="155" t="n"/>
      <c r="I1" s="155" t="n"/>
      <c r="J1" s="155" t="n"/>
      <c r="K1" s="155" t="n"/>
      <c r="L1" s="155" t="n"/>
    </row>
    <row r="2">
      <c r="A2" s="155" t="inlineStr">
        <is>
          <t>10 giờ dự kiến; ưu tiên tuần này thay phân bổ chi tiết cũ. Không đánh dấu hoàn thành mã học kỳ từ việc soạn tài liệu.</t>
        </is>
      </c>
      <c r="B2" s="155" t="n"/>
      <c r="C2" s="155" t="n"/>
      <c r="D2" s="155" t="n"/>
      <c r="E2" s="155" t="n"/>
      <c r="F2" s="155" t="n"/>
      <c r="G2" s="155" t="n"/>
      <c r="H2" s="155" t="n"/>
      <c r="I2" s="155" t="n"/>
      <c r="J2" s="155" t="n"/>
      <c r="K2" s="155" t="n"/>
      <c r="L2" s="155" t="n"/>
    </row>
    <row r="3">
      <c r="A3" s="155" t="inlineStr">
        <is>
          <t>Ngày</t>
        </is>
      </c>
      <c r="B3" s="155" t="inlineStr">
        <is>
          <t>Giờ dự kiến</t>
        </is>
      </c>
      <c r="C3" s="155" t="inlineStr">
        <is>
          <t>Nội dung</t>
        </is>
      </c>
      <c r="D3" s="155" t="inlineStr">
        <is>
          <t>Đầu ra / điều kiện hoàn thành</t>
        </is>
      </c>
      <c r="E3" s="155" t="inlineStr">
        <is>
          <t>Mã liên hệ</t>
        </is>
      </c>
      <c r="F3" s="155" t="inlineStr">
        <is>
          <t>Nguồn</t>
        </is>
      </c>
      <c r="G3" s="155" t="inlineStr">
        <is>
          <t>Trạng thái học</t>
        </is>
      </c>
      <c r="H3" s="155" t="inlineStr">
        <is>
          <t>Giờ thực tế</t>
        </is>
      </c>
      <c r="I3" s="155" t="inlineStr">
        <is>
          <t>Bằng chứng</t>
        </is>
      </c>
      <c r="J3" s="155" t="inlineStr">
        <is>
          <t>Vấn đề / giải pháp</t>
        </is>
      </c>
      <c r="K3" s="155" t="inlineStr">
        <is>
          <t>Ý nghĩa thiết kế</t>
        </is>
      </c>
      <c r="L3" s="155" t="inlineStr">
        <is>
          <t>Bài học Word</t>
        </is>
      </c>
    </row>
    <row r="4" ht="75" customHeight="1">
      <c r="A4" s="153" t="n">
        <v>46321</v>
      </c>
      <c r="B4" s="152" t="n">
        <v>1.5</v>
      </c>
      <c r="C4" s="152" t="inlineStr">
        <is>
          <t>Buổi 1: trạng thái, clock, PC</t>
        </is>
      </c>
      <c r="D4" s="152" t="inlineStr">
        <is>
          <t>Sơ đồ PC + bảng trước/sau cạnh</t>
        </is>
      </c>
      <c r="E4" s="152" t="inlineStr">
        <is>
          <t>C01/C02</t>
        </is>
      </c>
      <c r="F4" s="152" t="inlineStr">
        <is>
          <t>S1, S3, S4</t>
        </is>
      </c>
      <c r="G4" s="152" t="inlineStr">
        <is>
          <t>Chưa thực hiện</t>
        </is>
      </c>
      <c r="H4" s="152" t="n"/>
      <c r="I4" s="152" t="n"/>
      <c r="J4" s="152" t="n"/>
      <c r="K4" s="152" t="n"/>
      <c r="L4" s="152" t="inlineStr">
        <is>
          <t>Bài học Word</t>
        </is>
      </c>
    </row>
    <row r="5" ht="75" customHeight="1">
      <c r="A5" s="153" t="n">
        <v>46322</v>
      </c>
      <c r="B5" s="152" t="n">
        <v>1.5</v>
      </c>
      <c r="C5" s="152" t="inlineStr">
        <is>
          <t>Buổi 2: fetch và decode</t>
        </is>
      </c>
      <c r="D5" s="152" t="inlineStr">
        <is>
          <t>Hai lệnh đã tách field + ROM index</t>
        </is>
      </c>
      <c r="E5" s="152" t="inlineStr">
        <is>
          <t>C03</t>
        </is>
      </c>
      <c r="F5" s="152" t="inlineStr">
        <is>
          <t>S3, S4, T3</t>
        </is>
      </c>
      <c r="G5" s="152" t="inlineStr">
        <is>
          <t>Chưa thực hiện</t>
        </is>
      </c>
      <c r="H5" s="152" t="n"/>
      <c r="I5" s="152" t="n"/>
      <c r="J5" s="152" t="n"/>
      <c r="K5" s="152" t="n"/>
      <c r="L5" s="152" t="inlineStr">
        <is>
          <t>Bài học Word</t>
        </is>
      </c>
    </row>
    <row r="6" ht="75" customHeight="1">
      <c r="A6" s="153" t="n">
        <v>46323</v>
      </c>
      <c r="B6" s="152" t="n">
        <v>2</v>
      </c>
      <c r="C6" s="152" t="inlineStr">
        <is>
          <t>Buổi 3: register file và ALU</t>
        </is>
      </c>
      <c r="D6" s="152" t="inlineStr">
        <is>
          <t>Kiểm tra cổng ghi/x0 + 11 vector ALU</t>
        </is>
      </c>
      <c r="E6" s="152" t="inlineStr">
        <is>
          <t>C02/C03</t>
        </is>
      </c>
      <c r="F6" s="152" t="inlineStr">
        <is>
          <t>S3, T3</t>
        </is>
      </c>
      <c r="G6" s="152" t="inlineStr">
        <is>
          <t>Chưa thực hiện</t>
        </is>
      </c>
      <c r="H6" s="152" t="n"/>
      <c r="I6" s="152" t="n"/>
      <c r="J6" s="152" t="n"/>
      <c r="K6" s="152" t="n"/>
      <c r="L6" s="152" t="inlineStr">
        <is>
          <t>Bài học Word</t>
        </is>
      </c>
    </row>
    <row r="7" ht="75" customHeight="1">
      <c r="A7" s="153" t="n">
        <v>46324</v>
      </c>
      <c r="B7" s="152" t="n">
        <v>1.5</v>
      </c>
      <c r="C7" s="152" t="inlineStr">
        <is>
          <t>Buổi 4: immediate và ALUSrc</t>
        </is>
      </c>
      <c r="D7" s="152" t="inlineStr">
        <is>
          <t>6 vector immediate + ADDI âm</t>
        </is>
      </c>
      <c r="E7" s="152" t="inlineStr">
        <is>
          <t>C03/C05</t>
        </is>
      </c>
      <c r="F7" s="152" t="inlineStr">
        <is>
          <t>S3, ISA, T3</t>
        </is>
      </c>
      <c r="G7" s="152" t="inlineStr">
        <is>
          <t>Chưa thực hiện</t>
        </is>
      </c>
      <c r="H7" s="152" t="n"/>
      <c r="I7" s="152" t="n"/>
      <c r="J7" s="152" t="n"/>
      <c r="K7" s="152" t="n"/>
      <c r="L7" s="152" t="inlineStr">
        <is>
          <t>Bài học Word</t>
        </is>
      </c>
    </row>
    <row r="8" ht="75" customHeight="1">
      <c r="A8" s="153" t="n">
        <v>46325</v>
      </c>
      <c r="B8" s="152" t="n">
        <v>1.5</v>
      </c>
      <c r="C8" s="152" t="inlineStr">
        <is>
          <t>Buổi 5: ghép datapath và PC</t>
        </is>
      </c>
      <c r="D8" s="152" t="inlineStr">
        <is>
          <t>Trace ADD/ADDI + 3 tình huống PC</t>
        </is>
      </c>
      <c r="E8" s="152" t="inlineStr">
        <is>
          <t>C05</t>
        </is>
      </c>
      <c r="F8" s="152" t="inlineStr">
        <is>
          <t>S3, S4, ISA, T3</t>
        </is>
      </c>
      <c r="G8" s="152" t="inlineStr">
        <is>
          <t>Chưa thực hiện</t>
        </is>
      </c>
      <c r="H8" s="152" t="n"/>
      <c r="I8" s="152" t="n"/>
      <c r="J8" s="152" t="n"/>
      <c r="K8" s="152" t="n"/>
      <c r="L8" s="152" t="inlineStr">
        <is>
          <t>Bài học Word</t>
        </is>
      </c>
    </row>
    <row r="9" ht="75" customHeight="1">
      <c r="A9" s="153" t="n">
        <v>46326</v>
      </c>
      <c r="B9" s="152" t="n">
        <v>1</v>
      </c>
      <c r="C9" s="152" t="inlineStr">
        <is>
          <t>Buổi 6: ý nghĩa và hiệu năng</t>
        </is>
      </c>
      <c r="D9" s="152" t="inlineStr">
        <is>
          <t>Bài tính time + giải thích liên hệ Ibex</t>
        </is>
      </c>
      <c r="E9" s="152" t="inlineStr">
        <is>
          <t>C05/C09</t>
        </is>
      </c>
      <c r="F9" s="152" t="inlineStr">
        <is>
          <t>S1, S2, S4</t>
        </is>
      </c>
      <c r="G9" s="152" t="inlineStr">
        <is>
          <t>Chưa thực hiện</t>
        </is>
      </c>
      <c r="H9" s="152" t="n"/>
      <c r="I9" s="152" t="n"/>
      <c r="J9" s="152" t="n"/>
      <c r="K9" s="152" t="n"/>
      <c r="L9" s="152" t="inlineStr">
        <is>
          <t>Bài học Word</t>
        </is>
      </c>
    </row>
    <row r="10" ht="75" customHeight="1">
      <c r="A10" s="153" t="n">
        <v>46327</v>
      </c>
      <c r="B10" s="152" t="n">
        <v>1</v>
      </c>
      <c r="C10" s="152" t="inlineStr">
        <is>
          <t>Rà soát và viết báo cáo tuần</t>
        </is>
      </c>
      <c r="D10" s="152" t="inlineStr">
        <is>
          <t>Kết quả thật, vấn đề, giải pháp, ý nghĩa, kế hoạch tới</t>
        </is>
      </c>
      <c r="E10" s="152" t="inlineStr">
        <is>
          <t>Báo cáo GVHD</t>
        </is>
      </c>
      <c r="F10" s="152" t="inlineStr">
        <is>
          <t>Báo cáo tuần 01</t>
        </is>
      </c>
      <c r="G10" s="152" t="inlineStr">
        <is>
          <t>Chưa thực hiện</t>
        </is>
      </c>
      <c r="H10" s="152" t="n"/>
      <c r="I10" s="152" t="n"/>
      <c r="J10" s="152" t="n"/>
      <c r="K10" s="152" t="n"/>
      <c r="L10" s="152" t="inlineStr">
        <is>
          <t>Bài học Word</t>
        </is>
      </c>
    </row>
    <row r="11">
      <c r="A11" s="152" t="inlineStr">
        <is>
          <t>Tổng</t>
        </is>
      </c>
      <c r="B11" s="152">
        <f>SUM(B4:B10)</f>
        <v/>
      </c>
      <c r="C11" s="152" t="n"/>
      <c r="D11" s="152" t="n"/>
      <c r="E11" s="152" t="n"/>
      <c r="F11" s="152" t="n"/>
      <c r="G11" s="152" t="n"/>
      <c r="H11" s="152" t="n"/>
      <c r="I11" s="152" t="n"/>
      <c r="J11" s="152" t="n"/>
      <c r="K11" s="152" t="n"/>
      <c r="L11" s="152" t="n"/>
    </row>
  </sheetData>
  <autoFilter ref="A3:L10"/>
  <mergeCells count="2">
    <mergeCell ref="A2:L2"/>
    <mergeCell ref="A1:L1"/>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s>
  <pageMargins left="0.75" right="0.75" top="1" bottom="1" header="0.5" footer="0.5"/>
  <pageSetup orientation="landscape" paperSize="8"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2026-10-24T14:45:33Z</dcterms:created>
  <dcterms:modified xmlns:dcterms="http://purl.org/dc/terms/" xmlns:xsi="http://www.w3.org/2001/XMLSchema-instance" xsi:type="dcterms:W3CDTF">2026-10-26T16:40:19Z</dcterms:modified>
</cp:coreProperties>
</file>